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24226"/>
  <xr:revisionPtr revIDLastSave="0" documentId="13_ncr:1_{973E62D0-FA97-4C0E-917E-5BBB636C8980}" xr6:coauthVersionLast="47" xr6:coauthVersionMax="47" xr10:uidLastSave="{00000000-0000-0000-0000-000000000000}"/>
  <bookViews>
    <workbookView xWindow="28680" yWindow="-120" windowWidth="29040" windowHeight="15720" tabRatio="677" activeTab="4" xr2:uid="{00000000-000D-0000-FFFF-FFFF00000000}"/>
  </bookViews>
  <sheets>
    <sheet name="ICIO" sheetId="20" r:id="rId1"/>
    <sheet name="MIP" sheetId="21" r:id="rId2"/>
    <sheet name="MIP2" sheetId="23" r:id="rId3"/>
    <sheet name="MRIOT" sheetId="22" r:id="rId4"/>
    <sheet name="MRIOT_Types" sheetId="25" r:id="rId5"/>
    <sheet name="Sheet1" sheetId="2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4" l="1"/>
  <c r="R8" i="24"/>
  <c r="R9" i="24"/>
  <c r="I12" i="24" s="1"/>
  <c r="I15" i="24" s="1"/>
  <c r="R10" i="24"/>
  <c r="H12" i="24"/>
  <c r="H15" i="24" s="1"/>
  <c r="G12" i="24"/>
  <c r="U7" i="24"/>
  <c r="T8" i="24"/>
  <c r="U8" i="24"/>
  <c r="U9" i="24"/>
  <c r="U10" i="24"/>
  <c r="T9" i="24"/>
  <c r="T10" i="24"/>
  <c r="T7" i="24"/>
  <c r="J12" i="24"/>
  <c r="J15" i="24" s="1"/>
  <c r="X27" i="20"/>
  <c r="K35" i="20" s="1"/>
  <c r="G15" i="24" l="1"/>
  <c r="K32" i="20"/>
  <c r="K34" i="20"/>
  <c r="K33" i="20"/>
  <c r="K28" i="20"/>
  <c r="K31" i="20"/>
</calcChain>
</file>

<file path=xl/sharedStrings.xml><?xml version="1.0" encoding="utf-8"?>
<sst xmlns="http://schemas.openxmlformats.org/spreadsheetml/2006/main" count="213" uniqueCount="84">
  <si>
    <t>NPISH</t>
  </si>
  <si>
    <t>GGFC</t>
  </si>
  <si>
    <t>GFCF</t>
  </si>
  <si>
    <t>INVNT</t>
  </si>
  <si>
    <t>Z</t>
  </si>
  <si>
    <t>VA</t>
  </si>
  <si>
    <t>X</t>
  </si>
  <si>
    <t>HFCE</t>
  </si>
  <si>
    <t>Dimension</t>
  </si>
  <si>
    <t>Description</t>
  </si>
  <si>
    <t>(Z)</t>
  </si>
  <si>
    <t>(VA)</t>
  </si>
  <si>
    <t>(X)</t>
  </si>
  <si>
    <t>(FD)</t>
  </si>
  <si>
    <t>[…]</t>
  </si>
  <si>
    <t>FD</t>
  </si>
  <si>
    <t>(TLS)</t>
  </si>
  <si>
    <t>TLS</t>
  </si>
  <si>
    <t>[TLS]</t>
  </si>
  <si>
    <t>OECD, Inter-Country Input-Output (ICIO) Tables, 2021 edition</t>
  </si>
  <si>
    <t>…</t>
  </si>
  <si>
    <t>Demand items</t>
  </si>
  <si>
    <t>DPABR</t>
  </si>
  <si>
    <t>Producción bruta</t>
  </si>
  <si>
    <t>Demanda final</t>
  </si>
  <si>
    <t>Consumo intermedio</t>
  </si>
  <si>
    <t>País 1</t>
  </si>
  <si>
    <t>País 2</t>
  </si>
  <si>
    <t>País 71</t>
  </si>
  <si>
    <t>Valor Agregado</t>
  </si>
  <si>
    <t>País 67</t>
  </si>
  <si>
    <t>Industria 1</t>
  </si>
  <si>
    <t>País 1 x Industria 1   […]   País 71 x Industria 45</t>
  </si>
  <si>
    <t>Industria 45</t>
  </si>
  <si>
    <t>Pagado por el país 1</t>
  </si>
  <si>
    <t>Pagado por el país 2</t>
  </si>
  <si>
    <t>Pagado por el país 67</t>
  </si>
  <si>
    <t>Impuestos menos subsidios a productos intermedios y finales</t>
  </si>
  <si>
    <t>Millones de dólares corrientes</t>
  </si>
  <si>
    <t>Consumo intermedio a precios basicos</t>
  </si>
  <si>
    <t>Valor agregado a precios básicos</t>
  </si>
  <si>
    <t>Producción bruta a precios básicos</t>
  </si>
  <si>
    <t>Demanda Final a precios básicos</t>
  </si>
  <si>
    <t>Gasto en consumo final de los hogares</t>
  </si>
  <si>
    <t>Instituciones sin fines de lucro al servicio de los hogares</t>
  </si>
  <si>
    <t>Consumo final del gobierno general</t>
  </si>
  <si>
    <t>Formación bruta de capital fijo</t>
  </si>
  <si>
    <t>Cambios en inventarios y objetos de valor</t>
  </si>
  <si>
    <t>Compras directas en el exterior por parte de residentes.</t>
  </si>
  <si>
    <t>(DF)</t>
  </si>
  <si>
    <t>n</t>
  </si>
  <si>
    <r>
      <t xml:space="preserve">Sectores </t>
    </r>
    <r>
      <rPr>
        <i/>
        <sz val="11"/>
        <color theme="1"/>
        <rFont val="Calibri"/>
        <family val="2"/>
        <scheme val="minor"/>
      </rPr>
      <t>j</t>
    </r>
  </si>
  <si>
    <r>
      <t xml:space="preserve">Sectores </t>
    </r>
    <r>
      <rPr>
        <i/>
        <sz val="11"/>
        <color theme="1"/>
        <rFont val="Calibri"/>
        <family val="2"/>
        <scheme val="minor"/>
      </rPr>
      <t>i</t>
    </r>
  </si>
  <si>
    <t>I</t>
  </si>
  <si>
    <t>Demanda Final</t>
  </si>
  <si>
    <t>Im</t>
  </si>
  <si>
    <t>Importaciones</t>
  </si>
  <si>
    <t>VBP</t>
  </si>
  <si>
    <t>Producción Bruta</t>
  </si>
  <si>
    <t>Demanda Intermedia</t>
  </si>
  <si>
    <t>Oferta Intermedia</t>
  </si>
  <si>
    <t>Y</t>
  </si>
  <si>
    <t>País A</t>
  </si>
  <si>
    <t>País B</t>
  </si>
  <si>
    <t>País C</t>
  </si>
  <si>
    <t>Resto del mundo</t>
  </si>
  <si>
    <t>C</t>
  </si>
  <si>
    <t>G</t>
  </si>
  <si>
    <t>E</t>
  </si>
  <si>
    <t>Sector</t>
  </si>
  <si>
    <t>a</t>
  </si>
  <si>
    <t>b</t>
  </si>
  <si>
    <t>Sectores</t>
  </si>
  <si>
    <t>Comercio interindustrial</t>
  </si>
  <si>
    <t xml:space="preserve"> (internacional)</t>
  </si>
  <si>
    <t xml:space="preserve">Comercio intraindustrial </t>
  </si>
  <si>
    <t>(internacional)</t>
  </si>
  <si>
    <t xml:space="preserve">Autoconsumo industrial </t>
  </si>
  <si>
    <t>(nacional)</t>
  </si>
  <si>
    <t>Tipo I:</t>
  </si>
  <si>
    <t>Tipo II:</t>
  </si>
  <si>
    <t>Tipo III:</t>
  </si>
  <si>
    <t>Tipo IV:</t>
  </si>
  <si>
    <t>Insumo-producto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</si>
</sst>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2"/>
      <color theme="3"/>
      <name val="Calibri"/>
      <family val="2"/>
    </font>
    <font>
      <sz val="10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theme="4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CED1"/>
        <bgColor indexed="64"/>
      </patternFill>
    </fill>
  </fills>
  <borders count="1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medium">
        <color theme="6" tint="-0.24994659260841701"/>
      </left>
      <right/>
      <top style="medium">
        <color theme="6" tint="-0.24994659260841701"/>
      </top>
      <bottom/>
      <diagonal/>
    </border>
    <border>
      <left/>
      <right/>
      <top style="medium">
        <color theme="6" tint="-0.24994659260841701"/>
      </top>
      <bottom/>
      <diagonal/>
    </border>
    <border>
      <left/>
      <right style="medium">
        <color theme="6" tint="-0.24994659260841701"/>
      </right>
      <top style="medium">
        <color theme="6" tint="-0.24994659260841701"/>
      </top>
      <bottom/>
      <diagonal/>
    </border>
    <border>
      <left style="medium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/>
      <right style="medium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6" tint="-0.24994659260841701"/>
      </left>
      <right/>
      <top style="thin">
        <color theme="0"/>
      </top>
      <bottom style="medium">
        <color theme="6" tint="-0.24994659260841701"/>
      </bottom>
      <diagonal/>
    </border>
    <border>
      <left/>
      <right/>
      <top style="thin">
        <color theme="0"/>
      </top>
      <bottom style="medium">
        <color theme="6" tint="-0.24994659260841701"/>
      </bottom>
      <diagonal/>
    </border>
    <border>
      <left/>
      <right style="medium">
        <color theme="6" tint="-0.24994659260841701"/>
      </right>
      <top style="thin">
        <color theme="0"/>
      </top>
      <bottom style="medium">
        <color theme="6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6" tint="-0.24994659260841701"/>
      </left>
      <right/>
      <top style="medium">
        <color theme="6" tint="-0.24994659260841701"/>
      </top>
      <bottom style="thin">
        <color theme="0"/>
      </bottom>
      <diagonal/>
    </border>
    <border>
      <left/>
      <right/>
      <top style="medium">
        <color theme="6" tint="-0.24994659260841701"/>
      </top>
      <bottom style="thin">
        <color theme="0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/>
      <top/>
      <bottom style="medium">
        <color auto="1"/>
      </bottom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medium">
        <color auto="1"/>
      </left>
      <right/>
      <top style="thin">
        <color theme="0" tint="-4.9989318521683403E-2"/>
      </top>
      <bottom/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medium">
        <color auto="1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medium">
        <color auto="1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medium">
        <color auto="1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/>
      <right/>
      <top style="dashDotDot">
        <color indexed="64"/>
      </top>
      <bottom/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/>
      <top/>
      <bottom style="medium">
        <color auto="1"/>
      </bottom>
      <diagonal/>
    </border>
    <border>
      <left style="dashDotDot">
        <color indexed="64"/>
      </left>
      <right/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medium">
        <color auto="1"/>
      </right>
      <top style="dashDotDot">
        <color indexed="64"/>
      </top>
      <bottom/>
      <diagonal/>
    </border>
    <border>
      <left style="medium">
        <color auto="1"/>
      </left>
      <right/>
      <top style="dashDotDot">
        <color indexed="64"/>
      </top>
      <bottom style="dashDotDot">
        <color indexed="64"/>
      </bottom>
      <diagonal/>
    </border>
    <border>
      <left/>
      <right/>
      <top style="medium">
        <color auto="1"/>
      </top>
      <bottom style="dashDotDot">
        <color indexed="64"/>
      </bottom>
      <diagonal/>
    </border>
    <border>
      <left/>
      <right style="medium">
        <color auto="1"/>
      </right>
      <top style="medium">
        <color auto="1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auto="1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Dot">
        <color indexed="64"/>
      </left>
      <right/>
      <top style="medium">
        <color auto="1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">
        <color indexed="64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dashDot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 tint="-4.9989318521683403E-2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0" tint="-4.9989318521683403E-2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4.9989318521683403E-2"/>
      </left>
      <right/>
      <top/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0" tint="-4.9989318521683403E-2"/>
      </bottom>
      <diagonal/>
    </border>
    <border>
      <left/>
      <right style="medium">
        <color theme="1"/>
      </right>
      <top style="thin">
        <color theme="0" tint="-4.9989318521683403E-2"/>
      </top>
      <bottom/>
      <diagonal/>
    </border>
    <border>
      <left style="medium">
        <color theme="1"/>
      </left>
      <right/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 tint="-4.9989318521683403E-2"/>
      </bottom>
      <diagonal/>
    </border>
    <border>
      <left/>
      <right style="thin">
        <color theme="0"/>
      </right>
      <top/>
      <bottom style="thin">
        <color theme="0" tint="-4.9989318521683403E-2"/>
      </bottom>
      <diagonal/>
    </border>
    <border>
      <left style="thin">
        <color theme="0"/>
      </left>
      <right/>
      <top style="thin">
        <color theme="0" tint="-4.9989318521683403E-2"/>
      </top>
      <bottom/>
      <diagonal/>
    </border>
    <border>
      <left style="thin">
        <color theme="0"/>
      </left>
      <right/>
      <top style="medium">
        <color auto="1"/>
      </top>
      <bottom/>
      <diagonal/>
    </border>
    <border>
      <left style="thin">
        <color theme="0"/>
      </left>
      <right/>
      <top/>
      <bottom style="medium">
        <color auto="1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</cellStyleXfs>
  <cellXfs count="492">
    <xf numFmtId="0" fontId="0" fillId="0" borderId="0" xfId="0"/>
    <xf numFmtId="0" fontId="25" fillId="0" borderId="0" xfId="0" applyFont="1"/>
    <xf numFmtId="0" fontId="25" fillId="0" borderId="0" xfId="0" applyFont="1" applyAlignment="1">
      <alignment vertical="top"/>
    </xf>
    <xf numFmtId="0" fontId="26" fillId="0" borderId="0" xfId="0" applyFont="1"/>
    <xf numFmtId="0" fontId="25" fillId="34" borderId="13" xfId="0" applyFont="1" applyFill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wrapText="1"/>
    </xf>
    <xf numFmtId="0" fontId="24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5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textRotation="90" wrapText="1"/>
    </xf>
    <xf numFmtId="0" fontId="25" fillId="39" borderId="0" xfId="0" applyFont="1" applyFill="1" applyAlignment="1">
      <alignment vertical="center" textRotation="90" wrapText="1"/>
    </xf>
    <xf numFmtId="0" fontId="25" fillId="39" borderId="21" xfId="0" applyFont="1" applyFill="1" applyBorder="1" applyAlignment="1">
      <alignment vertical="center" textRotation="90" wrapText="1"/>
    </xf>
    <xf numFmtId="0" fontId="25" fillId="39" borderId="22" xfId="0" applyFont="1" applyFill="1" applyBorder="1" applyAlignment="1">
      <alignment vertical="center" textRotation="90" wrapText="1"/>
    </xf>
    <xf numFmtId="0" fontId="25" fillId="39" borderId="23" xfId="0" applyFont="1" applyFill="1" applyBorder="1" applyAlignment="1">
      <alignment vertical="center" textRotation="90" wrapText="1"/>
    </xf>
    <xf numFmtId="0" fontId="24" fillId="41" borderId="0" xfId="0" applyFont="1" applyFill="1" applyAlignment="1">
      <alignment horizontal="center" vertical="top" wrapText="1"/>
    </xf>
    <xf numFmtId="0" fontId="25" fillId="33" borderId="34" xfId="0" applyFont="1" applyFill="1" applyBorder="1" applyAlignment="1">
      <alignment vertical="center"/>
    </xf>
    <xf numFmtId="0" fontId="25" fillId="33" borderId="36" xfId="0" applyFont="1" applyFill="1" applyBorder="1" applyAlignment="1">
      <alignment vertical="center"/>
    </xf>
    <xf numFmtId="0" fontId="25" fillId="33" borderId="37" xfId="0" applyFont="1" applyFill="1" applyBorder="1" applyAlignment="1">
      <alignment vertical="center"/>
    </xf>
    <xf numFmtId="0" fontId="25" fillId="37" borderId="24" xfId="0" applyFont="1" applyFill="1" applyBorder="1" applyAlignment="1">
      <alignment horizontal="left" vertical="center" wrapText="1" indent="1"/>
    </xf>
    <xf numFmtId="0" fontId="25" fillId="37" borderId="35" xfId="0" applyFont="1" applyFill="1" applyBorder="1" applyAlignment="1">
      <alignment horizontal="left" vertical="center" wrapText="1" indent="1"/>
    </xf>
    <xf numFmtId="0" fontId="25" fillId="39" borderId="41" xfId="0" applyFont="1" applyFill="1" applyBorder="1" applyAlignment="1">
      <alignment vertical="center" textRotation="90" wrapText="1"/>
    </xf>
    <xf numFmtId="0" fontId="25" fillId="39" borderId="42" xfId="0" applyFont="1" applyFill="1" applyBorder="1" applyAlignment="1">
      <alignment vertical="center" textRotation="90" wrapText="1"/>
    </xf>
    <xf numFmtId="0" fontId="25" fillId="39" borderId="43" xfId="0" applyFont="1" applyFill="1" applyBorder="1" applyAlignment="1">
      <alignment vertical="center" textRotation="90" wrapText="1"/>
    </xf>
    <xf numFmtId="0" fontId="25" fillId="35" borderId="0" xfId="0" applyFont="1" applyFill="1" applyAlignment="1">
      <alignment horizontal="center" vertical="center"/>
    </xf>
    <xf numFmtId="0" fontId="25" fillId="35" borderId="0" xfId="0" applyFont="1" applyFill="1" applyAlignment="1">
      <alignment horizontal="center" vertical="center" wrapText="1"/>
    </xf>
    <xf numFmtId="0" fontId="25" fillId="38" borderId="0" xfId="0" applyFont="1" applyFill="1" applyAlignment="1">
      <alignment horizontal="center" vertical="center"/>
    </xf>
    <xf numFmtId="0" fontId="6" fillId="41" borderId="0" xfId="0" applyFont="1" applyFill="1" applyAlignment="1">
      <alignment horizontal="center" vertical="top" wrapText="1"/>
    </xf>
    <xf numFmtId="0" fontId="25" fillId="0" borderId="51" xfId="0" applyFont="1" applyBorder="1"/>
    <xf numFmtId="0" fontId="6" fillId="41" borderId="25" xfId="0" applyFont="1" applyFill="1" applyBorder="1" applyAlignment="1">
      <alignment horizontal="center" vertical="center"/>
    </xf>
    <xf numFmtId="0" fontId="6" fillId="41" borderId="26" xfId="0" applyFont="1" applyFill="1" applyBorder="1" applyAlignment="1">
      <alignment horizontal="center" vertical="center"/>
    </xf>
    <xf numFmtId="0" fontId="6" fillId="41" borderId="27" xfId="0" applyFont="1" applyFill="1" applyBorder="1" applyAlignment="1">
      <alignment horizontal="center" vertical="center"/>
    </xf>
    <xf numFmtId="0" fontId="6" fillId="41" borderId="31" xfId="0" applyFont="1" applyFill="1" applyBorder="1" applyAlignment="1">
      <alignment horizontal="center" vertical="center"/>
    </xf>
    <xf numFmtId="0" fontId="6" fillId="41" borderId="32" xfId="0" applyFont="1" applyFill="1" applyBorder="1" applyAlignment="1">
      <alignment horizontal="center" vertical="center"/>
    </xf>
    <xf numFmtId="0" fontId="6" fillId="41" borderId="28" xfId="0" applyFont="1" applyFill="1" applyBorder="1" applyAlignment="1">
      <alignment horizontal="center" vertical="center"/>
    </xf>
    <xf numFmtId="0" fontId="6" fillId="41" borderId="29" xfId="0" applyFont="1" applyFill="1" applyBorder="1" applyAlignment="1">
      <alignment horizontal="center" vertical="center"/>
    </xf>
    <xf numFmtId="0" fontId="6" fillId="41" borderId="30" xfId="0" applyFont="1" applyFill="1" applyBorder="1" applyAlignment="1">
      <alignment horizontal="center" vertical="center"/>
    </xf>
    <xf numFmtId="0" fontId="6" fillId="33" borderId="0" xfId="0" applyFont="1" applyFill="1" applyAlignment="1">
      <alignment horizontal="center" vertical="center" wrapText="1"/>
    </xf>
    <xf numFmtId="0" fontId="6" fillId="33" borderId="0" xfId="0" applyFont="1" applyFill="1" applyAlignment="1">
      <alignment horizontal="center" vertical="center"/>
    </xf>
    <xf numFmtId="0" fontId="6" fillId="40" borderId="25" xfId="0" applyFont="1" applyFill="1" applyBorder="1" applyAlignment="1">
      <alignment horizontal="center" vertical="center"/>
    </xf>
    <xf numFmtId="0" fontId="6" fillId="40" borderId="26" xfId="0" applyFont="1" applyFill="1" applyBorder="1" applyAlignment="1">
      <alignment horizontal="center" vertical="center"/>
    </xf>
    <xf numFmtId="0" fontId="6" fillId="40" borderId="27" xfId="0" applyFont="1" applyFill="1" applyBorder="1" applyAlignment="1">
      <alignment horizontal="center" vertical="center"/>
    </xf>
    <xf numFmtId="0" fontId="6" fillId="40" borderId="31" xfId="0" applyFont="1" applyFill="1" applyBorder="1" applyAlignment="1">
      <alignment horizontal="center" vertical="center"/>
    </xf>
    <xf numFmtId="0" fontId="6" fillId="40" borderId="32" xfId="0" applyFont="1" applyFill="1" applyBorder="1" applyAlignment="1">
      <alignment horizontal="center" vertical="center"/>
    </xf>
    <xf numFmtId="0" fontId="6" fillId="40" borderId="28" xfId="0" applyFont="1" applyFill="1" applyBorder="1" applyAlignment="1">
      <alignment horizontal="center" vertical="center"/>
    </xf>
    <xf numFmtId="0" fontId="6" fillId="40" borderId="29" xfId="0" applyFont="1" applyFill="1" applyBorder="1" applyAlignment="1">
      <alignment horizontal="center" vertical="center"/>
    </xf>
    <xf numFmtId="0" fontId="6" fillId="40" borderId="30" xfId="0" applyFont="1" applyFill="1" applyBorder="1" applyAlignment="1">
      <alignment horizontal="center" vertical="center"/>
    </xf>
    <xf numFmtId="0" fontId="6" fillId="36" borderId="52" xfId="0" applyFont="1" applyFill="1" applyBorder="1" applyAlignment="1">
      <alignment horizontal="center" vertical="center"/>
    </xf>
    <xf numFmtId="0" fontId="6" fillId="36" borderId="54" xfId="0" applyFont="1" applyFill="1" applyBorder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6" fillId="44" borderId="55" xfId="0" applyFont="1" applyFill="1" applyBorder="1" applyAlignment="1">
      <alignment horizontal="center" vertical="center"/>
    </xf>
    <xf numFmtId="0" fontId="6" fillId="44" borderId="57" xfId="0" applyFont="1" applyFill="1" applyBorder="1" applyAlignment="1">
      <alignment horizontal="center" vertical="center"/>
    </xf>
    <xf numFmtId="0" fontId="6" fillId="43" borderId="55" xfId="0" applyFont="1" applyFill="1" applyBorder="1" applyAlignment="1">
      <alignment horizontal="center" vertical="center"/>
    </xf>
    <xf numFmtId="0" fontId="6" fillId="43" borderId="57" xfId="0" applyFont="1" applyFill="1" applyBorder="1" applyAlignment="1">
      <alignment horizontal="center" vertical="center"/>
    </xf>
    <xf numFmtId="0" fontId="6" fillId="36" borderId="25" xfId="0" applyFont="1" applyFill="1" applyBorder="1" applyAlignment="1">
      <alignment horizontal="center" vertical="center"/>
    </xf>
    <xf numFmtId="0" fontId="6" fillId="36" borderId="27" xfId="0" applyFont="1" applyFill="1" applyBorder="1" applyAlignment="1">
      <alignment horizontal="center" vertical="center"/>
    </xf>
    <xf numFmtId="0" fontId="6" fillId="36" borderId="28" xfId="0" applyFont="1" applyFill="1" applyBorder="1" applyAlignment="1">
      <alignment horizontal="center" vertical="center"/>
    </xf>
    <xf numFmtId="0" fontId="6" fillId="36" borderId="30" xfId="0" applyFont="1" applyFill="1" applyBorder="1" applyAlignment="1">
      <alignment horizontal="center" vertical="center"/>
    </xf>
    <xf numFmtId="0" fontId="6" fillId="43" borderId="56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vertical="center" wrapText="1"/>
    </xf>
    <xf numFmtId="0" fontId="6" fillId="0" borderId="44" xfId="0" applyFont="1" applyBorder="1" applyAlignment="1">
      <alignment vertical="center"/>
    </xf>
    <xf numFmtId="0" fontId="6" fillId="0" borderId="44" xfId="0" applyFont="1" applyBorder="1" applyAlignment="1">
      <alignment horizontal="center" vertical="center" wrapText="1"/>
    </xf>
    <xf numFmtId="0" fontId="6" fillId="44" borderId="44" xfId="0" applyFont="1" applyFill="1" applyBorder="1" applyAlignment="1">
      <alignment horizontal="center" vertical="center" wrapText="1"/>
    </xf>
    <xf numFmtId="0" fontId="6" fillId="43" borderId="44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6" fillId="33" borderId="51" xfId="0" applyFont="1" applyFill="1" applyBorder="1" applyAlignment="1">
      <alignment horizontal="center" vertical="center"/>
    </xf>
    <xf numFmtId="0" fontId="6" fillId="33" borderId="59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36" borderId="26" xfId="0" applyFont="1" applyFill="1" applyBorder="1" applyAlignment="1">
      <alignment vertical="center"/>
    </xf>
    <xf numFmtId="0" fontId="5" fillId="36" borderId="26" xfId="0" applyFont="1" applyFill="1" applyBorder="1" applyAlignment="1">
      <alignment horizontal="center" vertical="center"/>
    </xf>
    <xf numFmtId="0" fontId="5" fillId="36" borderId="25" xfId="0" applyFont="1" applyFill="1" applyBorder="1" applyAlignment="1">
      <alignment vertical="center"/>
    </xf>
    <xf numFmtId="0" fontId="5" fillId="36" borderId="28" xfId="0" applyFont="1" applyFill="1" applyBorder="1" applyAlignment="1">
      <alignment vertical="center"/>
    </xf>
    <xf numFmtId="0" fontId="5" fillId="36" borderId="29" xfId="0" applyFont="1" applyFill="1" applyBorder="1" applyAlignment="1">
      <alignment vertical="center"/>
    </xf>
    <xf numFmtId="0" fontId="5" fillId="36" borderId="29" xfId="0" applyFont="1" applyFill="1" applyBorder="1" applyAlignment="1">
      <alignment horizontal="center" vertical="center"/>
    </xf>
    <xf numFmtId="0" fontId="5" fillId="40" borderId="0" xfId="0" applyFont="1" applyFill="1" applyAlignment="1">
      <alignment vertical="center"/>
    </xf>
    <xf numFmtId="0" fontId="5" fillId="40" borderId="0" xfId="0" applyFont="1" applyFill="1" applyAlignment="1">
      <alignment horizontal="center" vertical="center"/>
    </xf>
    <xf numFmtId="0" fontId="5" fillId="40" borderId="29" xfId="0" applyFont="1" applyFill="1" applyBorder="1" applyAlignment="1">
      <alignment horizontal="center" vertical="center"/>
    </xf>
    <xf numFmtId="0" fontId="6" fillId="33" borderId="60" xfId="0" applyFont="1" applyFill="1" applyBorder="1" applyAlignment="1">
      <alignment horizontal="center" vertical="center" wrapText="1"/>
    </xf>
    <xf numFmtId="0" fontId="6" fillId="33" borderId="49" xfId="0" applyFont="1" applyFill="1" applyBorder="1" applyAlignment="1">
      <alignment horizontal="center" vertical="center" wrapText="1"/>
    </xf>
    <xf numFmtId="0" fontId="6" fillId="45" borderId="26" xfId="0" applyFont="1" applyFill="1" applyBorder="1" applyAlignment="1">
      <alignment horizontal="center" vertical="center"/>
    </xf>
    <xf numFmtId="0" fontId="6" fillId="45" borderId="27" xfId="0" applyFont="1" applyFill="1" applyBorder="1" applyAlignment="1">
      <alignment horizontal="center" vertical="center"/>
    </xf>
    <xf numFmtId="0" fontId="6" fillId="45" borderId="31" xfId="0" applyFont="1" applyFill="1" applyBorder="1" applyAlignment="1">
      <alignment horizontal="center" vertical="center"/>
    </xf>
    <xf numFmtId="0" fontId="6" fillId="45" borderId="32" xfId="0" applyFont="1" applyFill="1" applyBorder="1" applyAlignment="1">
      <alignment horizontal="center" vertical="center"/>
    </xf>
    <xf numFmtId="0" fontId="6" fillId="45" borderId="28" xfId="0" applyFont="1" applyFill="1" applyBorder="1" applyAlignment="1">
      <alignment horizontal="center" vertical="center"/>
    </xf>
    <xf numFmtId="0" fontId="6" fillId="45" borderId="29" xfId="0" applyFont="1" applyFill="1" applyBorder="1" applyAlignment="1">
      <alignment horizontal="center" vertical="center"/>
    </xf>
    <xf numFmtId="0" fontId="6" fillId="45" borderId="0" xfId="0" applyFont="1" applyFill="1" applyAlignment="1">
      <alignment horizontal="center" vertical="center"/>
    </xf>
    <xf numFmtId="0" fontId="5" fillId="40" borderId="25" xfId="0" applyFont="1" applyFill="1" applyBorder="1" applyAlignment="1">
      <alignment vertical="center"/>
    </xf>
    <xf numFmtId="0" fontId="5" fillId="40" borderId="26" xfId="0" applyFont="1" applyFill="1" applyBorder="1" applyAlignment="1">
      <alignment vertical="center"/>
    </xf>
    <xf numFmtId="0" fontId="5" fillId="40" borderId="31" xfId="0" applyFont="1" applyFill="1" applyBorder="1" applyAlignment="1">
      <alignment vertical="center"/>
    </xf>
    <xf numFmtId="0" fontId="5" fillId="35" borderId="26" xfId="0" applyFont="1" applyFill="1" applyBorder="1" applyAlignment="1">
      <alignment horizontal="center" vertical="center"/>
    </xf>
    <xf numFmtId="0" fontId="5" fillId="35" borderId="26" xfId="0" applyFont="1" applyFill="1" applyBorder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5" fillId="35" borderId="0" xfId="0" applyFont="1" applyFill="1" applyAlignment="1">
      <alignment vertical="center"/>
    </xf>
    <xf numFmtId="0" fontId="5" fillId="35" borderId="31" xfId="0" applyFont="1" applyFill="1" applyBorder="1" applyAlignment="1">
      <alignment vertical="center"/>
    </xf>
    <xf numFmtId="0" fontId="5" fillId="35" borderId="31" xfId="0" applyFont="1" applyFill="1" applyBorder="1" applyAlignment="1">
      <alignment horizontal="center" vertical="center"/>
    </xf>
    <xf numFmtId="0" fontId="5" fillId="35" borderId="28" xfId="0" applyFont="1" applyFill="1" applyBorder="1" applyAlignment="1">
      <alignment horizontal="center" vertical="center"/>
    </xf>
    <xf numFmtId="0" fontId="5" fillId="35" borderId="29" xfId="0" applyFont="1" applyFill="1" applyBorder="1" applyAlignment="1">
      <alignment horizontal="center" vertical="center"/>
    </xf>
    <xf numFmtId="0" fontId="5" fillId="36" borderId="27" xfId="0" applyFont="1" applyFill="1" applyBorder="1" applyAlignment="1">
      <alignment horizontal="center" vertical="center"/>
    </xf>
    <xf numFmtId="0" fontId="5" fillId="36" borderId="30" xfId="0" applyFont="1" applyFill="1" applyBorder="1" applyAlignment="1">
      <alignment horizontal="center" vertical="center"/>
    </xf>
    <xf numFmtId="0" fontId="6" fillId="43" borderId="61" xfId="0" applyFont="1" applyFill="1" applyBorder="1" applyAlignment="1">
      <alignment horizontal="center" vertical="center"/>
    </xf>
    <xf numFmtId="0" fontId="6" fillId="43" borderId="62" xfId="0" applyFont="1" applyFill="1" applyBorder="1" applyAlignment="1">
      <alignment horizontal="center" vertical="center"/>
    </xf>
    <xf numFmtId="0" fontId="6" fillId="45" borderId="63" xfId="0" applyFont="1" applyFill="1" applyBorder="1" applyAlignment="1">
      <alignment horizontal="center" vertical="center"/>
    </xf>
    <xf numFmtId="0" fontId="6" fillId="45" borderId="64" xfId="0" applyFont="1" applyFill="1" applyBorder="1" applyAlignment="1">
      <alignment horizontal="center" vertical="center"/>
    </xf>
    <xf numFmtId="0" fontId="6" fillId="45" borderId="65" xfId="0" applyFont="1" applyFill="1" applyBorder="1" applyAlignment="1">
      <alignment horizontal="center" vertical="center"/>
    </xf>
    <xf numFmtId="0" fontId="6" fillId="45" borderId="66" xfId="0" applyFont="1" applyFill="1" applyBorder="1" applyAlignment="1">
      <alignment horizontal="center" vertical="center"/>
    </xf>
    <xf numFmtId="0" fontId="6" fillId="45" borderId="67" xfId="0" applyFont="1" applyFill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41" borderId="64" xfId="0" applyFont="1" applyFill="1" applyBorder="1" applyAlignment="1">
      <alignment horizontal="center" vertical="center"/>
    </xf>
    <xf numFmtId="0" fontId="6" fillId="45" borderId="69" xfId="0" applyFont="1" applyFill="1" applyBorder="1" applyAlignment="1">
      <alignment horizontal="center" vertical="center"/>
    </xf>
    <xf numFmtId="0" fontId="6" fillId="41" borderId="69" xfId="0" applyFont="1" applyFill="1" applyBorder="1" applyAlignment="1">
      <alignment horizontal="center" vertical="center"/>
    </xf>
    <xf numFmtId="0" fontId="6" fillId="41" borderId="70" xfId="0" applyFont="1" applyFill="1" applyBorder="1" applyAlignment="1">
      <alignment horizontal="center" vertical="center"/>
    </xf>
    <xf numFmtId="0" fontId="6" fillId="41" borderId="71" xfId="0" applyFont="1" applyFill="1" applyBorder="1" applyAlignment="1">
      <alignment horizontal="center" vertical="center"/>
    </xf>
    <xf numFmtId="0" fontId="6" fillId="41" borderId="72" xfId="0" applyFont="1" applyFill="1" applyBorder="1" applyAlignment="1">
      <alignment horizontal="center" vertical="center"/>
    </xf>
    <xf numFmtId="0" fontId="6" fillId="41" borderId="73" xfId="0" applyFont="1" applyFill="1" applyBorder="1" applyAlignment="1">
      <alignment horizontal="center" vertical="center"/>
    </xf>
    <xf numFmtId="0" fontId="6" fillId="41" borderId="66" xfId="0" applyFont="1" applyFill="1" applyBorder="1" applyAlignment="1">
      <alignment horizontal="center" vertical="center"/>
    </xf>
    <xf numFmtId="0" fontId="6" fillId="45" borderId="72" xfId="0" applyFont="1" applyFill="1" applyBorder="1" applyAlignment="1">
      <alignment horizontal="center" vertical="center"/>
    </xf>
    <xf numFmtId="0" fontId="6" fillId="45" borderId="74" xfId="0" applyFont="1" applyFill="1" applyBorder="1" applyAlignment="1">
      <alignment horizontal="center" vertical="center"/>
    </xf>
    <xf numFmtId="0" fontId="6" fillId="45" borderId="75" xfId="0" applyFont="1" applyFill="1" applyBorder="1" applyAlignment="1">
      <alignment horizontal="center" vertical="center"/>
    </xf>
    <xf numFmtId="0" fontId="6" fillId="45" borderId="70" xfId="0" applyFont="1" applyFill="1" applyBorder="1" applyAlignment="1">
      <alignment horizontal="center" vertical="center"/>
    </xf>
    <xf numFmtId="0" fontId="6" fillId="45" borderId="76" xfId="0" applyFont="1" applyFill="1" applyBorder="1" applyAlignment="1">
      <alignment horizontal="center" vertical="center"/>
    </xf>
    <xf numFmtId="0" fontId="6" fillId="45" borderId="77" xfId="0" applyFont="1" applyFill="1" applyBorder="1" applyAlignment="1">
      <alignment horizontal="center" vertical="center"/>
    </xf>
    <xf numFmtId="0" fontId="6" fillId="41" borderId="65" xfId="0" applyFont="1" applyFill="1" applyBorder="1" applyAlignment="1">
      <alignment horizontal="center" vertical="center"/>
    </xf>
    <xf numFmtId="0" fontId="6" fillId="45" borderId="73" xfId="0" applyFont="1" applyFill="1" applyBorder="1" applyAlignment="1">
      <alignment horizontal="center" vertical="center"/>
    </xf>
    <xf numFmtId="0" fontId="6" fillId="41" borderId="77" xfId="0" applyFont="1" applyFill="1" applyBorder="1" applyAlignment="1">
      <alignment horizontal="center" vertical="center"/>
    </xf>
    <xf numFmtId="0" fontId="6" fillId="41" borderId="74" xfId="0" applyFont="1" applyFill="1" applyBorder="1" applyAlignment="1">
      <alignment horizontal="center" vertical="center"/>
    </xf>
    <xf numFmtId="0" fontId="6" fillId="41" borderId="63" xfId="0" applyFont="1" applyFill="1" applyBorder="1" applyAlignment="1">
      <alignment horizontal="center" vertical="center"/>
    </xf>
    <xf numFmtId="0" fontId="6" fillId="45" borderId="78" xfId="0" applyFont="1" applyFill="1" applyBorder="1" applyAlignment="1">
      <alignment horizontal="center" vertical="center"/>
    </xf>
    <xf numFmtId="0" fontId="6" fillId="45" borderId="71" xfId="0" applyFont="1" applyFill="1" applyBorder="1" applyAlignment="1">
      <alignment horizontal="center" vertical="center"/>
    </xf>
    <xf numFmtId="0" fontId="5" fillId="35" borderId="64" xfId="0" applyFont="1" applyFill="1" applyBorder="1" applyAlignment="1">
      <alignment horizontal="center" vertical="center"/>
    </xf>
    <xf numFmtId="0" fontId="5" fillId="35" borderId="67" xfId="0" applyFont="1" applyFill="1" applyBorder="1" applyAlignment="1">
      <alignment vertical="center"/>
    </xf>
    <xf numFmtId="0" fontId="5" fillId="35" borderId="64" xfId="0" applyFont="1" applyFill="1" applyBorder="1" applyAlignment="1">
      <alignment vertical="center"/>
    </xf>
    <xf numFmtId="0" fontId="5" fillId="35" borderId="73" xfId="0" applyFont="1" applyFill="1" applyBorder="1" applyAlignment="1">
      <alignment vertical="center"/>
    </xf>
    <xf numFmtId="0" fontId="5" fillId="35" borderId="66" xfId="0" applyFont="1" applyFill="1" applyBorder="1" applyAlignment="1">
      <alignment vertical="center"/>
    </xf>
    <xf numFmtId="0" fontId="5" fillId="40" borderId="66" xfId="0" applyFont="1" applyFill="1" applyBorder="1" applyAlignment="1">
      <alignment horizontal="center" vertical="center"/>
    </xf>
    <xf numFmtId="0" fontId="5" fillId="35" borderId="76" xfId="0" applyFont="1" applyFill="1" applyBorder="1" applyAlignment="1">
      <alignment horizontal="center" vertical="center"/>
    </xf>
    <xf numFmtId="0" fontId="5" fillId="40" borderId="64" xfId="0" applyFont="1" applyFill="1" applyBorder="1" applyAlignment="1">
      <alignment horizontal="center" vertical="center"/>
    </xf>
    <xf numFmtId="0" fontId="5" fillId="35" borderId="63" xfId="0" applyFont="1" applyFill="1" applyBorder="1" applyAlignment="1">
      <alignment horizontal="center" vertical="center"/>
    </xf>
    <xf numFmtId="0" fontId="5" fillId="35" borderId="67" xfId="0" applyFont="1" applyFill="1" applyBorder="1" applyAlignment="1">
      <alignment horizontal="center" vertical="center"/>
    </xf>
    <xf numFmtId="0" fontId="5" fillId="35" borderId="66" xfId="0" applyFont="1" applyFill="1" applyBorder="1" applyAlignment="1">
      <alignment horizontal="center" vertical="center"/>
    </xf>
    <xf numFmtId="0" fontId="5" fillId="35" borderId="73" xfId="0" applyFont="1" applyFill="1" applyBorder="1" applyAlignment="1">
      <alignment horizontal="center" vertical="center"/>
    </xf>
    <xf numFmtId="0" fontId="5" fillId="40" borderId="72" xfId="0" applyFont="1" applyFill="1" applyBorder="1" applyAlignment="1">
      <alignment vertical="center"/>
    </xf>
    <xf numFmtId="0" fontId="5" fillId="35" borderId="72" xfId="0" applyFont="1" applyFill="1" applyBorder="1" applyAlignment="1">
      <alignment vertical="center"/>
    </xf>
    <xf numFmtId="0" fontId="5" fillId="35" borderId="77" xfId="0" applyFont="1" applyFill="1" applyBorder="1" applyAlignment="1">
      <alignment vertical="center"/>
    </xf>
    <xf numFmtId="0" fontId="5" fillId="40" borderId="64" xfId="0" applyFont="1" applyFill="1" applyBorder="1" applyAlignment="1">
      <alignment vertical="center"/>
    </xf>
    <xf numFmtId="0" fontId="5" fillId="40" borderId="77" xfId="0" applyFont="1" applyFill="1" applyBorder="1" applyAlignment="1">
      <alignment vertical="center"/>
    </xf>
    <xf numFmtId="0" fontId="5" fillId="40" borderId="66" xfId="0" applyFont="1" applyFill="1" applyBorder="1" applyAlignment="1">
      <alignment vertical="center"/>
    </xf>
    <xf numFmtId="0" fontId="5" fillId="35" borderId="76" xfId="0" applyFont="1" applyFill="1" applyBorder="1" applyAlignment="1">
      <alignment vertical="center"/>
    </xf>
    <xf numFmtId="0" fontId="5" fillId="35" borderId="71" xfId="0" applyFont="1" applyFill="1" applyBorder="1" applyAlignment="1">
      <alignment vertical="center"/>
    </xf>
    <xf numFmtId="0" fontId="5" fillId="40" borderId="72" xfId="0" applyFont="1" applyFill="1" applyBorder="1" applyAlignment="1">
      <alignment horizontal="center" vertical="center"/>
    </xf>
    <xf numFmtId="0" fontId="5" fillId="36" borderId="76" xfId="0" applyFont="1" applyFill="1" applyBorder="1" applyAlignment="1">
      <alignment vertical="center"/>
    </xf>
    <xf numFmtId="0" fontId="5" fillId="36" borderId="63" xfId="0" applyFont="1" applyFill="1" applyBorder="1" applyAlignment="1">
      <alignment vertical="center"/>
    </xf>
    <xf numFmtId="0" fontId="5" fillId="36" borderId="79" xfId="0" applyFont="1" applyFill="1" applyBorder="1" applyAlignment="1">
      <alignment vertical="center"/>
    </xf>
    <xf numFmtId="0" fontId="5" fillId="36" borderId="70" xfId="0" applyFont="1" applyFill="1" applyBorder="1" applyAlignment="1">
      <alignment vertical="center"/>
    </xf>
    <xf numFmtId="0" fontId="6" fillId="36" borderId="44" xfId="0" applyFont="1" applyFill="1" applyBorder="1" applyAlignment="1">
      <alignment horizontal="center" vertical="center" wrapText="1"/>
    </xf>
    <xf numFmtId="0" fontId="6" fillId="36" borderId="53" xfId="0" applyFont="1" applyFill="1" applyBorder="1" applyAlignment="1">
      <alignment vertical="center"/>
    </xf>
    <xf numFmtId="0" fontId="6" fillId="33" borderId="82" xfId="0" applyFont="1" applyFill="1" applyBorder="1" applyAlignment="1">
      <alignment horizontal="center" vertical="center"/>
    </xf>
    <xf numFmtId="0" fontId="6" fillId="33" borderId="83" xfId="0" applyFont="1" applyFill="1" applyBorder="1" applyAlignment="1">
      <alignment horizontal="center" vertical="center" wrapText="1"/>
    </xf>
    <xf numFmtId="0" fontId="6" fillId="41" borderId="84" xfId="0" applyFont="1" applyFill="1" applyBorder="1" applyAlignment="1">
      <alignment horizontal="center" vertical="center"/>
    </xf>
    <xf numFmtId="0" fontId="6" fillId="41" borderId="87" xfId="0" applyFont="1" applyFill="1" applyBorder="1" applyAlignment="1">
      <alignment vertical="center"/>
    </xf>
    <xf numFmtId="0" fontId="6" fillId="40" borderId="89" xfId="0" applyFont="1" applyFill="1" applyBorder="1" applyAlignment="1">
      <alignment horizontal="center" vertical="center"/>
    </xf>
    <xf numFmtId="0" fontId="6" fillId="40" borderId="90" xfId="0" applyFont="1" applyFill="1" applyBorder="1" applyAlignment="1">
      <alignment horizontal="center" vertical="center"/>
    </xf>
    <xf numFmtId="0" fontId="6" fillId="40" borderId="82" xfId="0" applyFont="1" applyFill="1" applyBorder="1" applyAlignment="1">
      <alignment vertical="center"/>
    </xf>
    <xf numFmtId="0" fontId="6" fillId="40" borderId="91" xfId="0" applyFont="1" applyFill="1" applyBorder="1" applyAlignment="1">
      <alignment horizontal="center" vertical="center"/>
    </xf>
    <xf numFmtId="0" fontId="6" fillId="40" borderId="88" xfId="0" applyFont="1" applyFill="1" applyBorder="1" applyAlignment="1">
      <alignment horizontal="center" vertical="center"/>
    </xf>
    <xf numFmtId="0" fontId="5" fillId="36" borderId="92" xfId="0" applyFont="1" applyFill="1" applyBorder="1" applyAlignment="1">
      <alignment vertical="center"/>
    </xf>
    <xf numFmtId="0" fontId="6" fillId="41" borderId="93" xfId="0" applyFont="1" applyFill="1" applyBorder="1" applyAlignment="1">
      <alignment horizontal="center" vertical="center"/>
    </xf>
    <xf numFmtId="0" fontId="6" fillId="41" borderId="83" xfId="0" applyFont="1" applyFill="1" applyBorder="1" applyAlignment="1">
      <alignment horizontal="center" vertical="center"/>
    </xf>
    <xf numFmtId="0" fontId="6" fillId="41" borderId="94" xfId="0" applyFont="1" applyFill="1" applyBorder="1" applyAlignment="1">
      <alignment horizontal="center" vertical="center"/>
    </xf>
    <xf numFmtId="0" fontId="6" fillId="41" borderId="82" xfId="0" applyFont="1" applyFill="1" applyBorder="1" applyAlignment="1">
      <alignment vertical="center"/>
    </xf>
    <xf numFmtId="0" fontId="6" fillId="41" borderId="95" xfId="0" applyFont="1" applyFill="1" applyBorder="1" applyAlignment="1">
      <alignment horizontal="center" vertical="center"/>
    </xf>
    <xf numFmtId="0" fontId="6" fillId="41" borderId="96" xfId="0" applyFont="1" applyFill="1" applyBorder="1" applyAlignment="1">
      <alignment vertical="center"/>
    </xf>
    <xf numFmtId="0" fontId="5" fillId="44" borderId="86" xfId="0" applyFont="1" applyFill="1" applyBorder="1" applyAlignment="1">
      <alignment vertical="center"/>
    </xf>
    <xf numFmtId="0" fontId="5" fillId="43" borderId="85" xfId="0" applyFont="1" applyFill="1" applyBorder="1" applyAlignment="1">
      <alignment vertical="center"/>
    </xf>
    <xf numFmtId="0" fontId="6" fillId="43" borderId="85" xfId="0" applyFont="1" applyFill="1" applyBorder="1" applyAlignment="1">
      <alignment vertical="center"/>
    </xf>
    <xf numFmtId="0" fontId="6" fillId="43" borderId="97" xfId="0" applyFont="1" applyFill="1" applyBorder="1" applyAlignment="1">
      <alignment horizontal="center" vertical="center"/>
    </xf>
    <xf numFmtId="0" fontId="6" fillId="41" borderId="98" xfId="0" applyFont="1" applyFill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41" borderId="100" xfId="0" applyFont="1" applyFill="1" applyBorder="1" applyAlignment="1">
      <alignment horizontal="center" vertical="center"/>
    </xf>
    <xf numFmtId="0" fontId="6" fillId="41" borderId="101" xfId="0" applyFont="1" applyFill="1" applyBorder="1" applyAlignment="1">
      <alignment horizontal="center" vertical="center"/>
    </xf>
    <xf numFmtId="0" fontId="6" fillId="41" borderId="91" xfId="0" applyFont="1" applyFill="1" applyBorder="1" applyAlignment="1">
      <alignment horizontal="center" vertical="center"/>
    </xf>
    <xf numFmtId="0" fontId="6" fillId="41" borderId="87" xfId="0" applyFont="1" applyFill="1" applyBorder="1" applyAlignment="1">
      <alignment horizontal="center" vertical="center"/>
    </xf>
    <xf numFmtId="0" fontId="6" fillId="0" borderId="102" xfId="0" applyFont="1" applyBorder="1" applyAlignment="1">
      <alignment horizontal="center" vertical="center"/>
    </xf>
    <xf numFmtId="0" fontId="6" fillId="41" borderId="82" xfId="0" applyFont="1" applyFill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44" borderId="97" xfId="0" applyFont="1" applyFill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6" fillId="36" borderId="57" xfId="0" applyFont="1" applyFill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6" fillId="36" borderId="85" xfId="0" applyFont="1" applyFill="1" applyBorder="1" applyAlignment="1">
      <alignment vertical="center"/>
    </xf>
    <xf numFmtId="0" fontId="5" fillId="36" borderId="86" xfId="0" applyFont="1" applyFill="1" applyBorder="1" applyAlignment="1">
      <alignment vertical="center"/>
    </xf>
    <xf numFmtId="0" fontId="6" fillId="36" borderId="97" xfId="0" applyFont="1" applyFill="1" applyBorder="1" applyAlignment="1">
      <alignment horizontal="center" vertical="center"/>
    </xf>
    <xf numFmtId="0" fontId="6" fillId="44" borderId="85" xfId="0" applyFont="1" applyFill="1" applyBorder="1" applyAlignment="1">
      <alignment vertical="center"/>
    </xf>
    <xf numFmtId="0" fontId="6" fillId="0" borderId="108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4" fillId="33" borderId="51" xfId="0" applyFont="1" applyFill="1" applyBorder="1" applyAlignment="1">
      <alignment horizontal="center" vertical="center"/>
    </xf>
    <xf numFmtId="0" fontId="4" fillId="33" borderId="0" xfId="0" applyFont="1" applyFill="1" applyAlignment="1">
      <alignment horizontal="center" vertical="center" wrapText="1"/>
    </xf>
    <xf numFmtId="0" fontId="4" fillId="33" borderId="60" xfId="0" applyFont="1" applyFill="1" applyBorder="1" applyAlignment="1">
      <alignment horizontal="center" vertical="center" wrapText="1"/>
    </xf>
    <xf numFmtId="0" fontId="5" fillId="40" borderId="35" xfId="0" applyFont="1" applyFill="1" applyBorder="1" applyAlignment="1">
      <alignment horizontal="center" vertical="center"/>
    </xf>
    <xf numFmtId="0" fontId="5" fillId="35" borderId="109" xfId="0" applyFont="1" applyFill="1" applyBorder="1" applyAlignment="1">
      <alignment horizontal="center" vertical="center"/>
    </xf>
    <xf numFmtId="0" fontId="5" fillId="35" borderId="112" xfId="0" applyFont="1" applyFill="1" applyBorder="1" applyAlignment="1">
      <alignment horizontal="center" vertical="center"/>
    </xf>
    <xf numFmtId="0" fontId="5" fillId="35" borderId="113" xfId="0" applyFont="1" applyFill="1" applyBorder="1" applyAlignment="1">
      <alignment horizontal="center" vertical="center"/>
    </xf>
    <xf numFmtId="0" fontId="5" fillId="35" borderId="115" xfId="0" applyFont="1" applyFill="1" applyBorder="1" applyAlignment="1">
      <alignment horizontal="center" vertical="center"/>
    </xf>
    <xf numFmtId="0" fontId="5" fillId="40" borderId="117" xfId="0" applyFont="1" applyFill="1" applyBorder="1" applyAlignment="1">
      <alignment horizontal="center" vertical="center"/>
    </xf>
    <xf numFmtId="0" fontId="5" fillId="40" borderId="120" xfId="0" applyFont="1" applyFill="1" applyBorder="1" applyAlignment="1">
      <alignment horizontal="center" vertical="center"/>
    </xf>
    <xf numFmtId="0" fontId="5" fillId="40" borderId="121" xfId="0" applyFont="1" applyFill="1" applyBorder="1" applyAlignment="1">
      <alignment horizontal="center" vertical="center"/>
    </xf>
    <xf numFmtId="0" fontId="5" fillId="36" borderId="0" xfId="0" applyFont="1" applyFill="1" applyAlignment="1">
      <alignment vertical="center"/>
    </xf>
    <xf numFmtId="0" fontId="6" fillId="43" borderId="122" xfId="0" applyFont="1" applyFill="1" applyBorder="1" applyAlignment="1">
      <alignment horizontal="center" vertical="center"/>
    </xf>
    <xf numFmtId="0" fontId="6" fillId="43" borderId="124" xfId="0" applyFont="1" applyFill="1" applyBorder="1" applyAlignment="1">
      <alignment horizontal="center" vertical="center"/>
    </xf>
    <xf numFmtId="0" fontId="6" fillId="43" borderId="125" xfId="0" applyFont="1" applyFill="1" applyBorder="1" applyAlignment="1">
      <alignment horizontal="center" vertical="center"/>
    </xf>
    <xf numFmtId="0" fontId="5" fillId="36" borderId="110" xfId="0" applyFont="1" applyFill="1" applyBorder="1" applyAlignment="1">
      <alignment vertical="center"/>
    </xf>
    <xf numFmtId="0" fontId="5" fillId="36" borderId="111" xfId="0" applyFont="1" applyFill="1" applyBorder="1" applyAlignment="1">
      <alignment vertical="center"/>
    </xf>
    <xf numFmtId="0" fontId="5" fillId="36" borderId="112" xfId="0" applyFont="1" applyFill="1" applyBorder="1" applyAlignment="1">
      <alignment vertical="center"/>
    </xf>
    <xf numFmtId="0" fontId="5" fillId="36" borderId="113" xfId="0" applyFont="1" applyFill="1" applyBorder="1" applyAlignment="1">
      <alignment vertical="center"/>
    </xf>
    <xf numFmtId="0" fontId="5" fillId="36" borderId="118" xfId="0" applyFont="1" applyFill="1" applyBorder="1" applyAlignment="1">
      <alignment vertical="center"/>
    </xf>
    <xf numFmtId="0" fontId="5" fillId="36" borderId="119" xfId="0" applyFont="1" applyFill="1" applyBorder="1" applyAlignment="1">
      <alignment vertical="center"/>
    </xf>
    <xf numFmtId="0" fontId="5" fillId="36" borderId="126" xfId="0" applyFont="1" applyFill="1" applyBorder="1" applyAlignment="1">
      <alignment vertical="center"/>
    </xf>
    <xf numFmtId="0" fontId="5" fillId="36" borderId="121" xfId="0" applyFont="1" applyFill="1" applyBorder="1" applyAlignment="1">
      <alignment vertical="center"/>
    </xf>
    <xf numFmtId="0" fontId="3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 wrapText="1"/>
    </xf>
    <xf numFmtId="0" fontId="3" fillId="33" borderId="49" xfId="0" applyFont="1" applyFill="1" applyBorder="1" applyAlignment="1">
      <alignment horizontal="center" vertical="center" wrapText="1"/>
    </xf>
    <xf numFmtId="0" fontId="3" fillId="33" borderId="59" xfId="0" applyFont="1" applyFill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41" borderId="110" xfId="0" applyFont="1" applyFill="1" applyBorder="1" applyAlignment="1">
      <alignment horizontal="center" vertical="center"/>
    </xf>
    <xf numFmtId="0" fontId="6" fillId="41" borderId="128" xfId="0" applyFont="1" applyFill="1" applyBorder="1" applyAlignment="1">
      <alignment horizontal="center" vertical="center"/>
    </xf>
    <xf numFmtId="0" fontId="6" fillId="45" borderId="111" xfId="0" applyFont="1" applyFill="1" applyBorder="1" applyAlignment="1">
      <alignment horizontal="center" vertical="center"/>
    </xf>
    <xf numFmtId="0" fontId="6" fillId="45" borderId="113" xfId="0" applyFont="1" applyFill="1" applyBorder="1" applyAlignment="1">
      <alignment horizontal="center" vertical="center"/>
    </xf>
    <xf numFmtId="0" fontId="6" fillId="41" borderId="129" xfId="0" applyFont="1" applyFill="1" applyBorder="1" applyAlignment="1">
      <alignment horizontal="center" vertical="center"/>
    </xf>
    <xf numFmtId="0" fontId="6" fillId="45" borderId="115" xfId="0" applyFont="1" applyFill="1" applyBorder="1" applyAlignment="1">
      <alignment horizontal="center" vertical="center"/>
    </xf>
    <xf numFmtId="0" fontId="6" fillId="45" borderId="116" xfId="0" applyFont="1" applyFill="1" applyBorder="1" applyAlignment="1">
      <alignment horizontal="center" vertical="center"/>
    </xf>
    <xf numFmtId="0" fontId="6" fillId="41" borderId="130" xfId="0" applyFont="1" applyFill="1" applyBorder="1" applyAlignment="1">
      <alignment horizontal="center" vertical="center"/>
    </xf>
    <xf numFmtId="0" fontId="6" fillId="45" borderId="118" xfId="0" applyFont="1" applyFill="1" applyBorder="1" applyAlignment="1">
      <alignment horizontal="center" vertical="center"/>
    </xf>
    <xf numFmtId="0" fontId="6" fillId="45" borderId="119" xfId="0" applyFont="1" applyFill="1" applyBorder="1" applyAlignment="1">
      <alignment horizontal="center" vertical="center"/>
    </xf>
    <xf numFmtId="0" fontId="6" fillId="41" borderId="126" xfId="0" applyFont="1" applyFill="1" applyBorder="1" applyAlignment="1">
      <alignment horizontal="center" vertical="center"/>
    </xf>
    <xf numFmtId="0" fontId="6" fillId="41" borderId="121" xfId="0" applyFont="1" applyFill="1" applyBorder="1" applyAlignment="1">
      <alignment horizontal="center" vertical="center"/>
    </xf>
    <xf numFmtId="0" fontId="5" fillId="36" borderId="114" xfId="0" applyFont="1" applyFill="1" applyBorder="1" applyAlignment="1">
      <alignment vertical="center"/>
    </xf>
    <xf numFmtId="0" fontId="5" fillId="36" borderId="131" xfId="0" applyFont="1" applyFill="1" applyBorder="1" applyAlignment="1">
      <alignment vertical="center"/>
    </xf>
    <xf numFmtId="0" fontId="5" fillId="36" borderId="116" xfId="0" applyFont="1" applyFill="1" applyBorder="1" applyAlignment="1">
      <alignment vertical="center"/>
    </xf>
    <xf numFmtId="0" fontId="6" fillId="0" borderId="45" xfId="0" applyFont="1" applyBorder="1" applyAlignment="1">
      <alignment horizontal="center" vertical="center"/>
    </xf>
    <xf numFmtId="0" fontId="3" fillId="36" borderId="110" xfId="0" applyFont="1" applyFill="1" applyBorder="1" applyAlignment="1">
      <alignment vertical="center"/>
    </xf>
    <xf numFmtId="0" fontId="5" fillId="36" borderId="132" xfId="0" applyFont="1" applyFill="1" applyBorder="1" applyAlignment="1">
      <alignment vertical="center"/>
    </xf>
    <xf numFmtId="0" fontId="5" fillId="36" borderId="117" xfId="0" applyFont="1" applyFill="1" applyBorder="1" applyAlignment="1">
      <alignment vertical="center"/>
    </xf>
    <xf numFmtId="0" fontId="5" fillId="36" borderId="111" xfId="0" applyFont="1" applyFill="1" applyBorder="1" applyAlignment="1">
      <alignment horizontal="center" vertical="center"/>
    </xf>
    <xf numFmtId="0" fontId="5" fillId="36" borderId="59" xfId="0" applyFont="1" applyFill="1" applyBorder="1" applyAlignment="1">
      <alignment horizontal="center" vertical="center"/>
    </xf>
    <xf numFmtId="0" fontId="5" fillId="36" borderId="51" xfId="0" applyFont="1" applyFill="1" applyBorder="1" applyAlignment="1">
      <alignment horizontal="center" vertical="center"/>
    </xf>
    <xf numFmtId="0" fontId="5" fillId="36" borderId="119" xfId="0" applyFont="1" applyFill="1" applyBorder="1" applyAlignment="1">
      <alignment horizontal="center" vertical="center"/>
    </xf>
    <xf numFmtId="0" fontId="5" fillId="36" borderId="115" xfId="0" applyFont="1" applyFill="1" applyBorder="1" applyAlignment="1">
      <alignment vertical="center"/>
    </xf>
    <xf numFmtId="0" fontId="5" fillId="36" borderId="60" xfId="0" applyFont="1" applyFill="1" applyBorder="1" applyAlignment="1">
      <alignment vertical="center"/>
    </xf>
    <xf numFmtId="0" fontId="5" fillId="40" borderId="110" xfId="0" applyFont="1" applyFill="1" applyBorder="1" applyAlignment="1">
      <alignment horizontal="center" vertical="center"/>
    </xf>
    <xf numFmtId="0" fontId="5" fillId="40" borderId="111" xfId="0" applyFont="1" applyFill="1" applyBorder="1" applyAlignment="1">
      <alignment horizontal="center" vertical="center"/>
    </xf>
    <xf numFmtId="0" fontId="5" fillId="40" borderId="114" xfId="0" applyFont="1" applyFill="1" applyBorder="1" applyAlignment="1">
      <alignment horizontal="center" vertical="center"/>
    </xf>
    <xf numFmtId="0" fontId="5" fillId="40" borderId="50" xfId="0" applyFont="1" applyFill="1" applyBorder="1" applyAlignment="1">
      <alignment horizontal="center" vertical="center"/>
    </xf>
    <xf numFmtId="0" fontId="5" fillId="35" borderId="116" xfId="0" applyFont="1" applyFill="1" applyBorder="1" applyAlignment="1">
      <alignment horizontal="center" vertical="center"/>
    </xf>
    <xf numFmtId="0" fontId="5" fillId="35" borderId="45" xfId="0" applyFont="1" applyFill="1" applyBorder="1" applyAlignment="1">
      <alignment horizontal="center" vertical="center"/>
    </xf>
    <xf numFmtId="0" fontId="5" fillId="35" borderId="118" xfId="0" applyFont="1" applyFill="1" applyBorder="1" applyAlignment="1">
      <alignment horizontal="center" vertical="center"/>
    </xf>
    <xf numFmtId="0" fontId="5" fillId="35" borderId="119" xfId="0" applyFont="1" applyFill="1" applyBorder="1" applyAlignment="1">
      <alignment horizontal="center" vertical="center"/>
    </xf>
    <xf numFmtId="0" fontId="3" fillId="43" borderId="123" xfId="0" applyFont="1" applyFill="1" applyBorder="1" applyAlignment="1">
      <alignment horizontal="center" vertical="center"/>
    </xf>
    <xf numFmtId="0" fontId="5" fillId="40" borderId="133" xfId="0" applyFont="1" applyFill="1" applyBorder="1" applyAlignment="1">
      <alignment horizontal="center" vertical="center"/>
    </xf>
    <xf numFmtId="0" fontId="5" fillId="35" borderId="60" xfId="0" applyFont="1" applyFill="1" applyBorder="1" applyAlignment="1">
      <alignment horizontal="center" vertical="center"/>
    </xf>
    <xf numFmtId="0" fontId="5" fillId="40" borderId="134" xfId="0" applyFont="1" applyFill="1" applyBorder="1" applyAlignment="1">
      <alignment vertical="center"/>
    </xf>
    <xf numFmtId="0" fontId="5" fillId="40" borderId="135" xfId="0" applyFont="1" applyFill="1" applyBorder="1" applyAlignment="1">
      <alignment horizontal="center" vertical="center"/>
    </xf>
    <xf numFmtId="0" fontId="5" fillId="35" borderId="49" xfId="0" applyFont="1" applyFill="1" applyBorder="1" applyAlignment="1">
      <alignment horizontal="center" vertical="center"/>
    </xf>
    <xf numFmtId="0" fontId="5" fillId="35" borderId="60" xfId="0" applyFont="1" applyFill="1" applyBorder="1" applyAlignment="1">
      <alignment vertical="center"/>
    </xf>
    <xf numFmtId="0" fontId="5" fillId="35" borderId="49" xfId="0" applyFont="1" applyFill="1" applyBorder="1" applyAlignment="1">
      <alignment vertical="center"/>
    </xf>
    <xf numFmtId="0" fontId="5" fillId="35" borderId="136" xfId="0" applyFont="1" applyFill="1" applyBorder="1" applyAlignment="1">
      <alignment vertical="center"/>
    </xf>
    <xf numFmtId="0" fontId="5" fillId="35" borderId="133" xfId="0" applyFont="1" applyFill="1" applyBorder="1" applyAlignment="1">
      <alignment vertical="center"/>
    </xf>
    <xf numFmtId="0" fontId="5" fillId="40" borderId="137" xfId="0" applyFont="1" applyFill="1" applyBorder="1" applyAlignment="1">
      <alignment horizontal="center" vertical="center"/>
    </xf>
    <xf numFmtId="0" fontId="5" fillId="35" borderId="27" xfId="0" applyFont="1" applyFill="1" applyBorder="1" applyAlignment="1">
      <alignment vertical="center"/>
    </xf>
    <xf numFmtId="0" fontId="5" fillId="35" borderId="32" xfId="0" applyFont="1" applyFill="1" applyBorder="1" applyAlignment="1">
      <alignment vertical="center"/>
    </xf>
    <xf numFmtId="0" fontId="5" fillId="35" borderId="78" xfId="0" applyFont="1" applyFill="1" applyBorder="1" applyAlignment="1">
      <alignment vertical="center"/>
    </xf>
    <xf numFmtId="0" fontId="5" fillId="40" borderId="74" xfId="0" applyFont="1" applyFill="1" applyBorder="1" applyAlignment="1">
      <alignment horizontal="center" vertical="center"/>
    </xf>
    <xf numFmtId="0" fontId="6" fillId="0" borderId="138" xfId="0" applyFont="1" applyBorder="1" applyAlignment="1">
      <alignment horizontal="center" vertical="center"/>
    </xf>
    <xf numFmtId="0" fontId="6" fillId="0" borderId="139" xfId="0" applyFont="1" applyBorder="1" applyAlignment="1">
      <alignment horizontal="center" vertical="center"/>
    </xf>
    <xf numFmtId="0" fontId="6" fillId="47" borderId="45" xfId="0" applyFont="1" applyFill="1" applyBorder="1" applyAlignment="1">
      <alignment vertical="center"/>
    </xf>
    <xf numFmtId="0" fontId="5" fillId="47" borderId="34" xfId="0" applyFont="1" applyFill="1" applyBorder="1" applyAlignment="1">
      <alignment vertical="center"/>
    </xf>
    <xf numFmtId="0" fontId="6" fillId="48" borderId="45" xfId="0" applyFont="1" applyFill="1" applyBorder="1" applyAlignment="1">
      <alignment vertical="center"/>
    </xf>
    <xf numFmtId="0" fontId="5" fillId="49" borderId="35" xfId="0" applyFont="1" applyFill="1" applyBorder="1" applyAlignment="1">
      <alignment vertical="center"/>
    </xf>
    <xf numFmtId="0" fontId="6" fillId="46" borderId="60" xfId="0" applyFont="1" applyFill="1" applyBorder="1" applyAlignment="1">
      <alignment vertical="center"/>
    </xf>
    <xf numFmtId="0" fontId="6" fillId="46" borderId="51" xfId="0" applyFont="1" applyFill="1" applyBorder="1" applyAlignment="1">
      <alignment vertical="center"/>
    </xf>
    <xf numFmtId="0" fontId="6" fillId="49" borderId="44" xfId="0" applyFont="1" applyFill="1" applyBorder="1" applyAlignment="1">
      <alignment vertical="center"/>
    </xf>
    <xf numFmtId="0" fontId="5" fillId="46" borderId="60" xfId="0" applyFont="1" applyFill="1" applyBorder="1" applyAlignment="1">
      <alignment vertical="center"/>
    </xf>
    <xf numFmtId="0" fontId="5" fillId="49" borderId="34" xfId="0" applyFont="1" applyFill="1" applyBorder="1" applyAlignment="1">
      <alignment vertical="center"/>
    </xf>
    <xf numFmtId="0" fontId="5" fillId="46" borderId="51" xfId="0" applyFont="1" applyFill="1" applyBorder="1" applyAlignment="1">
      <alignment vertical="center"/>
    </xf>
    <xf numFmtId="0" fontId="5" fillId="46" borderId="45" xfId="0" applyFont="1" applyFill="1" applyBorder="1" applyAlignment="1">
      <alignment vertical="center"/>
    </xf>
    <xf numFmtId="0" fontId="6" fillId="46" borderId="59" xfId="0" applyFont="1" applyFill="1" applyBorder="1" applyAlignment="1">
      <alignment vertical="center"/>
    </xf>
    <xf numFmtId="0" fontId="5" fillId="49" borderId="45" xfId="0" applyFont="1" applyFill="1" applyBorder="1" applyAlignment="1">
      <alignment vertical="center"/>
    </xf>
    <xf numFmtId="0" fontId="5" fillId="49" borderId="44" xfId="0" applyFont="1" applyFill="1" applyBorder="1" applyAlignment="1">
      <alignment vertical="center"/>
    </xf>
    <xf numFmtId="0" fontId="5" fillId="46" borderId="59" xfId="0" applyFont="1" applyFill="1" applyBorder="1" applyAlignment="1">
      <alignment vertical="center"/>
    </xf>
    <xf numFmtId="0" fontId="5" fillId="46" borderId="49" xfId="0" applyFont="1" applyFill="1" applyBorder="1" applyAlignment="1">
      <alignment vertical="center"/>
    </xf>
    <xf numFmtId="0" fontId="5" fillId="46" borderId="109" xfId="0" applyFont="1" applyFill="1" applyBorder="1" applyAlignment="1">
      <alignment vertical="center"/>
    </xf>
    <xf numFmtId="0" fontId="5" fillId="48" borderId="45" xfId="0" applyFont="1" applyFill="1" applyBorder="1" applyAlignment="1">
      <alignment vertical="center"/>
    </xf>
    <xf numFmtId="0" fontId="5" fillId="47" borderId="60" xfId="0" applyFont="1" applyFill="1" applyBorder="1" applyAlignment="1">
      <alignment vertical="center"/>
    </xf>
    <xf numFmtId="0" fontId="5" fillId="47" borderId="44" xfId="0" applyFont="1" applyFill="1" applyBorder="1" applyAlignment="1">
      <alignment vertical="center"/>
    </xf>
    <xf numFmtId="0" fontId="5" fillId="48" borderId="109" xfId="0" applyFont="1" applyFill="1" applyBorder="1" applyAlignment="1">
      <alignment vertical="center"/>
    </xf>
    <xf numFmtId="0" fontId="5" fillId="47" borderId="33" xfId="0" applyFont="1" applyFill="1" applyBorder="1" applyAlignment="1">
      <alignment vertical="center"/>
    </xf>
    <xf numFmtId="0" fontId="5" fillId="48" borderId="49" xfId="0" applyFont="1" applyFill="1" applyBorder="1" applyAlignment="1">
      <alignment vertical="center"/>
    </xf>
    <xf numFmtId="0" fontId="36" fillId="48" borderId="109" xfId="0" applyFont="1" applyFill="1" applyBorder="1" applyAlignment="1">
      <alignment vertical="center"/>
    </xf>
    <xf numFmtId="0" fontId="5" fillId="49" borderId="37" xfId="0" applyFont="1" applyFill="1" applyBorder="1" applyAlignment="1">
      <alignment vertical="center"/>
    </xf>
    <xf numFmtId="0" fontId="6" fillId="48" borderId="140" xfId="0" applyFont="1" applyFill="1" applyBorder="1" applyAlignment="1">
      <alignment horizontal="center" vertical="center"/>
    </xf>
    <xf numFmtId="0" fontId="6" fillId="46" borderId="140" xfId="0" applyFont="1" applyFill="1" applyBorder="1" applyAlignment="1">
      <alignment horizontal="center" vertical="center"/>
    </xf>
    <xf numFmtId="0" fontId="6" fillId="46" borderId="141" xfId="0" applyFont="1" applyFill="1" applyBorder="1" applyAlignment="1">
      <alignment horizontal="center" vertical="center"/>
    </xf>
    <xf numFmtId="0" fontId="6" fillId="46" borderId="144" xfId="0" applyFont="1" applyFill="1" applyBorder="1" applyAlignment="1">
      <alignment horizontal="center" vertical="center"/>
    </xf>
    <xf numFmtId="0" fontId="6" fillId="48" borderId="142" xfId="0" applyFont="1" applyFill="1" applyBorder="1" applyAlignment="1">
      <alignment horizontal="center" vertical="center"/>
    </xf>
    <xf numFmtId="0" fontId="6" fillId="48" borderId="45" xfId="0" applyFont="1" applyFill="1" applyBorder="1" applyAlignment="1">
      <alignment horizontal="center" vertical="center"/>
    </xf>
    <xf numFmtId="0" fontId="6" fillId="46" borderId="45" xfId="0" applyFont="1" applyFill="1" applyBorder="1" applyAlignment="1">
      <alignment horizontal="center" vertical="center"/>
    </xf>
    <xf numFmtId="0" fontId="6" fillId="46" borderId="145" xfId="0" applyFont="1" applyFill="1" applyBorder="1" applyAlignment="1">
      <alignment horizontal="center" vertical="center"/>
    </xf>
    <xf numFmtId="0" fontId="6" fillId="47" borderId="146" xfId="0" applyFont="1" applyFill="1" applyBorder="1" applyAlignment="1">
      <alignment horizontal="center" vertical="center"/>
    </xf>
    <xf numFmtId="0" fontId="6" fillId="48" borderId="147" xfId="0" applyFont="1" applyFill="1" applyBorder="1" applyAlignment="1">
      <alignment horizontal="center" vertical="center"/>
    </xf>
    <xf numFmtId="0" fontId="6" fillId="46" borderId="51" xfId="0" applyFont="1" applyFill="1" applyBorder="1" applyAlignment="1">
      <alignment horizontal="center" vertical="center"/>
    </xf>
    <xf numFmtId="0" fontId="6" fillId="48" borderId="145" xfId="0" applyFont="1" applyFill="1" applyBorder="1" applyAlignment="1">
      <alignment horizontal="center" vertical="center"/>
    </xf>
    <xf numFmtId="0" fontId="6" fillId="49" borderId="146" xfId="0" applyFont="1" applyFill="1" applyBorder="1" applyAlignment="1">
      <alignment horizontal="center" vertical="center"/>
    </xf>
    <xf numFmtId="0" fontId="6" fillId="46" borderId="147" xfId="0" applyFont="1" applyFill="1" applyBorder="1" applyAlignment="1">
      <alignment horizontal="center" vertical="center"/>
    </xf>
    <xf numFmtId="0" fontId="5" fillId="46" borderId="144" xfId="0" applyFont="1" applyFill="1" applyBorder="1" applyAlignment="1">
      <alignment vertical="center"/>
    </xf>
    <xf numFmtId="0" fontId="6" fillId="49" borderId="148" xfId="0" applyFont="1" applyFill="1" applyBorder="1" applyAlignment="1">
      <alignment horizontal="center" vertical="center"/>
    </xf>
    <xf numFmtId="0" fontId="6" fillId="48" borderId="141" xfId="0" applyFont="1" applyFill="1" applyBorder="1" applyAlignment="1">
      <alignment horizontal="center" vertical="center"/>
    </xf>
    <xf numFmtId="0" fontId="5" fillId="46" borderId="143" xfId="0" applyFont="1" applyFill="1" applyBorder="1" applyAlignment="1">
      <alignment vertical="center"/>
    </xf>
    <xf numFmtId="0" fontId="6" fillId="47" borderId="148" xfId="0" applyFont="1" applyFill="1" applyBorder="1" applyAlignment="1">
      <alignment horizontal="center" vertical="center"/>
    </xf>
    <xf numFmtId="0" fontId="5" fillId="46" borderId="142" xfId="0" applyFont="1" applyFill="1" applyBorder="1" applyAlignment="1">
      <alignment vertical="center"/>
    </xf>
    <xf numFmtId="0" fontId="5" fillId="46" borderId="147" xfId="0" applyFont="1" applyFill="1" applyBorder="1" applyAlignment="1">
      <alignment vertical="center"/>
    </xf>
    <xf numFmtId="0" fontId="5" fillId="46" borderId="145" xfId="0" applyFont="1" applyFill="1" applyBorder="1" applyAlignment="1">
      <alignment vertical="center"/>
    </xf>
    <xf numFmtId="0" fontId="5" fillId="46" borderId="140" xfId="0" applyFont="1" applyFill="1" applyBorder="1" applyAlignment="1">
      <alignment vertical="center"/>
    </xf>
    <xf numFmtId="0" fontId="5" fillId="49" borderId="149" xfId="0" applyFont="1" applyFill="1" applyBorder="1" applyAlignment="1">
      <alignment vertical="center"/>
    </xf>
    <xf numFmtId="0" fontId="5" fillId="46" borderId="141" xfId="0" applyFont="1" applyFill="1" applyBorder="1" applyAlignment="1">
      <alignment vertical="center"/>
    </xf>
    <xf numFmtId="0" fontId="5" fillId="48" borderId="145" xfId="0" applyFont="1" applyFill="1" applyBorder="1" applyAlignment="1">
      <alignment vertical="center"/>
    </xf>
    <xf numFmtId="0" fontId="5" fillId="48" borderId="140" xfId="0" applyFont="1" applyFill="1" applyBorder="1" applyAlignment="1">
      <alignment vertical="center"/>
    </xf>
    <xf numFmtId="0" fontId="5" fillId="47" borderId="148" xfId="0" applyFont="1" applyFill="1" applyBorder="1" applyAlignment="1">
      <alignment vertical="center"/>
    </xf>
    <xf numFmtId="0" fontId="5" fillId="48" borderId="143" xfId="0" applyFont="1" applyFill="1" applyBorder="1" applyAlignment="1">
      <alignment vertical="center"/>
    </xf>
    <xf numFmtId="0" fontId="5" fillId="49" borderId="148" xfId="0" applyFont="1" applyFill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44" xfId="0" applyFont="1" applyBorder="1" applyAlignment="1">
      <alignment horizontal="left" vertical="center"/>
    </xf>
    <xf numFmtId="0" fontId="6" fillId="46" borderId="44" xfId="0" applyFont="1" applyFill="1" applyBorder="1" applyAlignment="1">
      <alignment horizontal="center" vertical="center"/>
    </xf>
    <xf numFmtId="0" fontId="6" fillId="49" borderId="44" xfId="0" applyFont="1" applyFill="1" applyBorder="1" applyAlignment="1">
      <alignment horizontal="center" vertical="center"/>
    </xf>
    <xf numFmtId="0" fontId="6" fillId="48" borderId="44" xfId="0" applyFont="1" applyFill="1" applyBorder="1" applyAlignment="1">
      <alignment horizontal="center" vertical="center"/>
    </xf>
    <xf numFmtId="0" fontId="6" fillId="47" borderId="44" xfId="0" applyFont="1" applyFill="1" applyBorder="1" applyAlignment="1">
      <alignment horizontal="center" vertical="center"/>
    </xf>
    <xf numFmtId="0" fontId="6" fillId="0" borderId="150" xfId="0" applyFont="1" applyBorder="1" applyAlignment="1">
      <alignment horizontal="center" vertical="center"/>
    </xf>
    <xf numFmtId="0" fontId="6" fillId="0" borderId="151" xfId="0" applyFont="1" applyBorder="1" applyAlignment="1">
      <alignment horizontal="center" vertical="center"/>
    </xf>
    <xf numFmtId="0" fontId="6" fillId="0" borderId="152" xfId="0" applyFont="1" applyBorder="1" applyAlignment="1">
      <alignment horizontal="center" vertical="center"/>
    </xf>
    <xf numFmtId="0" fontId="6" fillId="47" borderId="153" xfId="0" applyFont="1" applyFill="1" applyBorder="1" applyAlignment="1">
      <alignment horizontal="center" vertical="center"/>
    </xf>
    <xf numFmtId="0" fontId="6" fillId="48" borderId="144" xfId="0" applyFont="1" applyFill="1" applyBorder="1" applyAlignment="1">
      <alignment horizontal="center" vertical="center"/>
    </xf>
    <xf numFmtId="0" fontId="6" fillId="48" borderId="0" xfId="0" applyFont="1" applyFill="1" applyAlignment="1">
      <alignment vertical="center"/>
    </xf>
    <xf numFmtId="0" fontId="6" fillId="46" borderId="0" xfId="0" applyFont="1" applyFill="1" applyAlignment="1">
      <alignment horizontal="center" vertical="center"/>
    </xf>
    <xf numFmtId="0" fontId="6" fillId="46" borderId="142" xfId="0" applyFont="1" applyFill="1" applyBorder="1" applyAlignment="1">
      <alignment horizontal="center" vertical="center"/>
    </xf>
    <xf numFmtId="0" fontId="6" fillId="48" borderId="143" xfId="0" applyFont="1" applyFill="1" applyBorder="1" applyAlignment="1">
      <alignment horizontal="center" vertical="center"/>
    </xf>
    <xf numFmtId="0" fontId="6" fillId="46" borderId="0" xfId="0" applyFont="1" applyFill="1" applyAlignment="1">
      <alignment vertical="center"/>
    </xf>
    <xf numFmtId="0" fontId="6" fillId="48" borderId="0" xfId="0" applyFont="1" applyFill="1" applyAlignment="1">
      <alignment horizontal="center" vertical="center"/>
    </xf>
    <xf numFmtId="0" fontId="6" fillId="49" borderId="149" xfId="0" applyFont="1" applyFill="1" applyBorder="1" applyAlignment="1">
      <alignment horizontal="center" vertical="center"/>
    </xf>
    <xf numFmtId="0" fontId="6" fillId="49" borderId="153" xfId="0" applyFont="1" applyFill="1" applyBorder="1" applyAlignment="1">
      <alignment horizontal="center" vertical="center"/>
    </xf>
    <xf numFmtId="0" fontId="5" fillId="48" borderId="0" xfId="0" applyFont="1" applyFill="1" applyAlignment="1">
      <alignment vertical="center"/>
    </xf>
    <xf numFmtId="0" fontId="5" fillId="46" borderId="0" xfId="0" applyFont="1" applyFill="1" applyAlignment="1">
      <alignment vertical="center"/>
    </xf>
    <xf numFmtId="0" fontId="6" fillId="46" borderId="143" xfId="0" applyFont="1" applyFill="1" applyBorder="1" applyAlignment="1">
      <alignment horizontal="center" vertical="center"/>
    </xf>
    <xf numFmtId="0" fontId="6" fillId="46" borderId="154" xfId="0" applyFont="1" applyFill="1" applyBorder="1" applyAlignment="1">
      <alignment horizontal="center" vertical="center"/>
    </xf>
    <xf numFmtId="0" fontId="6" fillId="49" borderId="155" xfId="0" applyFont="1" applyFill="1" applyBorder="1" applyAlignment="1">
      <alignment horizontal="center" vertical="center"/>
    </xf>
    <xf numFmtId="0" fontId="36" fillId="48" borderId="142" xfId="0" applyFont="1" applyFill="1" applyBorder="1" applyAlignment="1">
      <alignment horizontal="center" vertical="center"/>
    </xf>
    <xf numFmtId="0" fontId="6" fillId="46" borderId="156" xfId="0" applyFont="1" applyFill="1" applyBorder="1" applyAlignment="1">
      <alignment horizontal="center" vertical="center"/>
    </xf>
    <xf numFmtId="0" fontId="6" fillId="46" borderId="157" xfId="0" applyFont="1" applyFill="1" applyBorder="1" applyAlignment="1">
      <alignment horizontal="center" vertical="center"/>
    </xf>
    <xf numFmtId="0" fontId="6" fillId="49" borderId="158" xfId="0" applyFont="1" applyFill="1" applyBorder="1" applyAlignment="1">
      <alignment horizontal="center" vertical="center"/>
    </xf>
    <xf numFmtId="0" fontId="6" fillId="48" borderId="156" xfId="0" applyFont="1" applyFill="1" applyBorder="1" applyAlignment="1">
      <alignment horizontal="center" vertical="center"/>
    </xf>
    <xf numFmtId="0" fontId="6" fillId="48" borderId="157" xfId="0" applyFont="1" applyFill="1" applyBorder="1" applyAlignment="1">
      <alignment horizontal="center" vertical="center"/>
    </xf>
    <xf numFmtId="0" fontId="6" fillId="48" borderId="159" xfId="0" applyFont="1" applyFill="1" applyBorder="1" applyAlignment="1">
      <alignment horizontal="center" vertical="center"/>
    </xf>
    <xf numFmtId="0" fontId="6" fillId="47" borderId="160" xfId="0" applyFont="1" applyFill="1" applyBorder="1" applyAlignment="1">
      <alignment horizontal="center" vertical="center"/>
    </xf>
    <xf numFmtId="0" fontId="6" fillId="36" borderId="0" xfId="0" applyFont="1" applyFill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0" fontId="6" fillId="42" borderId="49" xfId="0" applyFont="1" applyFill="1" applyBorder="1" applyAlignment="1">
      <alignment horizontal="center" vertical="top" wrapText="1"/>
    </xf>
    <xf numFmtId="0" fontId="24" fillId="42" borderId="49" xfId="0" applyFont="1" applyFill="1" applyBorder="1" applyAlignment="1">
      <alignment horizontal="center" vertical="top" wrapText="1"/>
    </xf>
    <xf numFmtId="0" fontId="24" fillId="42" borderId="50" xfId="0" applyFont="1" applyFill="1" applyBorder="1" applyAlignment="1">
      <alignment horizontal="center" vertical="top" wrapText="1"/>
    </xf>
    <xf numFmtId="0" fontId="24" fillId="38" borderId="38" xfId="0" applyFont="1" applyFill="1" applyBorder="1" applyAlignment="1">
      <alignment horizontal="center" vertical="center"/>
    </xf>
    <xf numFmtId="0" fontId="24" fillId="38" borderId="39" xfId="0" applyFont="1" applyFill="1" applyBorder="1" applyAlignment="1">
      <alignment horizontal="center" vertical="center"/>
    </xf>
    <xf numFmtId="0" fontId="24" fillId="38" borderId="40" xfId="0" applyFont="1" applyFill="1" applyBorder="1" applyAlignment="1">
      <alignment horizontal="center" vertical="center"/>
    </xf>
    <xf numFmtId="0" fontId="24" fillId="38" borderId="25" xfId="0" applyFont="1" applyFill="1" applyBorder="1" applyAlignment="1">
      <alignment horizontal="center" vertical="center"/>
    </xf>
    <xf numFmtId="0" fontId="24" fillId="38" borderId="26" xfId="0" applyFont="1" applyFill="1" applyBorder="1" applyAlignment="1">
      <alignment horizontal="center" vertical="center"/>
    </xf>
    <xf numFmtId="0" fontId="24" fillId="38" borderId="27" xfId="0" applyFont="1" applyFill="1" applyBorder="1" applyAlignment="1">
      <alignment horizontal="center" vertical="center"/>
    </xf>
    <xf numFmtId="0" fontId="24" fillId="38" borderId="31" xfId="0" applyFont="1" applyFill="1" applyBorder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0" fontId="24" fillId="38" borderId="32" xfId="0" applyFont="1" applyFill="1" applyBorder="1" applyAlignment="1">
      <alignment horizontal="center" vertical="center"/>
    </xf>
    <xf numFmtId="0" fontId="24" fillId="38" borderId="28" xfId="0" applyFont="1" applyFill="1" applyBorder="1" applyAlignment="1">
      <alignment horizontal="center" vertical="center"/>
    </xf>
    <xf numFmtId="0" fontId="24" fillId="38" borderId="29" xfId="0" applyFont="1" applyFill="1" applyBorder="1" applyAlignment="1">
      <alignment horizontal="center" vertical="center"/>
    </xf>
    <xf numFmtId="0" fontId="24" fillId="38" borderId="30" xfId="0" applyFont="1" applyFill="1" applyBorder="1" applyAlignment="1">
      <alignment horizontal="center" vertical="center"/>
    </xf>
    <xf numFmtId="0" fontId="25" fillId="38" borderId="0" xfId="0" applyFont="1" applyFill="1" applyAlignment="1">
      <alignment horizontal="center" vertical="center"/>
    </xf>
    <xf numFmtId="0" fontId="6" fillId="34" borderId="24" xfId="0" applyFont="1" applyFill="1" applyBorder="1" applyAlignment="1">
      <alignment horizontal="center" wrapText="1"/>
    </xf>
    <xf numFmtId="0" fontId="24" fillId="34" borderId="33" xfId="0" applyFont="1" applyFill="1" applyBorder="1" applyAlignment="1">
      <alignment horizontal="center" wrapText="1"/>
    </xf>
    <xf numFmtId="0" fontId="6" fillId="41" borderId="45" xfId="0" applyFont="1" applyFill="1" applyBorder="1" applyAlignment="1">
      <alignment horizontal="center" vertical="center" wrapText="1"/>
    </xf>
    <xf numFmtId="0" fontId="24" fillId="41" borderId="49" xfId="0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5" fillId="35" borderId="25" xfId="0" applyFont="1" applyFill="1" applyBorder="1" applyAlignment="1">
      <alignment horizontal="center" vertical="center"/>
    </xf>
    <xf numFmtId="0" fontId="25" fillId="35" borderId="26" xfId="0" applyFont="1" applyFill="1" applyBorder="1" applyAlignment="1">
      <alignment horizontal="center" vertical="center"/>
    </xf>
    <xf numFmtId="0" fontId="25" fillId="35" borderId="27" xfId="0" applyFont="1" applyFill="1" applyBorder="1" applyAlignment="1">
      <alignment horizontal="center" vertical="center"/>
    </xf>
    <xf numFmtId="0" fontId="25" fillId="35" borderId="31" xfId="0" applyFont="1" applyFill="1" applyBorder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5" fillId="35" borderId="32" xfId="0" applyFont="1" applyFill="1" applyBorder="1" applyAlignment="1">
      <alignment horizontal="center" vertical="center"/>
    </xf>
    <xf numFmtId="0" fontId="25" fillId="35" borderId="28" xfId="0" applyFont="1" applyFill="1" applyBorder="1" applyAlignment="1">
      <alignment horizontal="center" vertical="center"/>
    </xf>
    <xf numFmtId="0" fontId="25" fillId="35" borderId="29" xfId="0" applyFont="1" applyFill="1" applyBorder="1" applyAlignment="1">
      <alignment horizontal="center" vertical="center"/>
    </xf>
    <xf numFmtId="0" fontId="25" fillId="35" borderId="30" xfId="0" applyFont="1" applyFill="1" applyBorder="1" applyAlignment="1">
      <alignment horizontal="center" vertical="center"/>
    </xf>
    <xf numFmtId="0" fontId="25" fillId="35" borderId="0" xfId="0" applyFont="1" applyFill="1" applyAlignment="1">
      <alignment horizontal="center" vertical="center" wrapText="1"/>
    </xf>
    <xf numFmtId="0" fontId="25" fillId="36" borderId="15" xfId="0" applyFont="1" applyFill="1" applyBorder="1" applyAlignment="1">
      <alignment horizontal="center" vertical="center"/>
    </xf>
    <xf numFmtId="0" fontId="25" fillId="36" borderId="16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/>
    </xf>
    <xf numFmtId="0" fontId="6" fillId="41" borderId="49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6" fillId="40" borderId="0" xfId="0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/>
    </xf>
    <xf numFmtId="0" fontId="25" fillId="36" borderId="0" xfId="0" applyFont="1" applyFill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5" fillId="35" borderId="46" xfId="0" applyFont="1" applyFill="1" applyBorder="1" applyAlignment="1">
      <alignment horizontal="center" vertical="center" wrapText="1"/>
    </xf>
    <xf numFmtId="0" fontId="25" fillId="35" borderId="47" xfId="0" applyFont="1" applyFill="1" applyBorder="1" applyAlignment="1">
      <alignment horizontal="center" vertical="center" wrapText="1"/>
    </xf>
    <xf numFmtId="0" fontId="25" fillId="35" borderId="48" xfId="0" applyFont="1" applyFill="1" applyBorder="1" applyAlignment="1">
      <alignment horizontal="center" vertical="center" wrapText="1"/>
    </xf>
    <xf numFmtId="0" fontId="25" fillId="35" borderId="18" xfId="0" applyFont="1" applyFill="1" applyBorder="1" applyAlignment="1">
      <alignment horizontal="center" vertical="center" wrapText="1"/>
    </xf>
    <xf numFmtId="0" fontId="25" fillId="35" borderId="19" xfId="0" applyFont="1" applyFill="1" applyBorder="1" applyAlignment="1">
      <alignment horizontal="center" vertical="center" wrapText="1"/>
    </xf>
    <xf numFmtId="0" fontId="25" fillId="35" borderId="20" xfId="0" applyFont="1" applyFill="1" applyBorder="1" applyAlignment="1">
      <alignment horizontal="center" vertical="center" wrapText="1"/>
    </xf>
    <xf numFmtId="0" fontId="34" fillId="39" borderId="0" xfId="0" applyFont="1" applyFill="1" applyAlignment="1">
      <alignment horizontal="center" vertical="center"/>
    </xf>
    <xf numFmtId="0" fontId="6" fillId="36" borderId="44" xfId="0" applyFont="1" applyFill="1" applyBorder="1" applyAlignment="1">
      <alignment horizontal="center" vertical="center" wrapText="1"/>
    </xf>
    <xf numFmtId="0" fontId="6" fillId="33" borderId="0" xfId="0" applyFont="1" applyFill="1" applyAlignment="1">
      <alignment horizontal="center" vertical="center" textRotation="90"/>
    </xf>
    <xf numFmtId="0" fontId="6" fillId="41" borderId="0" xfId="0" applyFont="1" applyFill="1" applyAlignment="1">
      <alignment horizontal="center" vertical="center" wrapText="1"/>
    </xf>
    <xf numFmtId="0" fontId="6" fillId="33" borderId="0" xfId="0" applyFont="1" applyFill="1" applyAlignment="1">
      <alignment horizontal="center" vertical="center" wrapText="1"/>
    </xf>
    <xf numFmtId="0" fontId="5" fillId="40" borderId="0" xfId="0" applyFont="1" applyFill="1" applyAlignment="1">
      <alignment horizontal="center" vertical="center"/>
    </xf>
    <xf numFmtId="0" fontId="5" fillId="36" borderId="53" xfId="0" applyFont="1" applyFill="1" applyBorder="1" applyAlignment="1">
      <alignment horizontal="center" vertical="center"/>
    </xf>
    <xf numFmtId="0" fontId="6" fillId="36" borderId="53" xfId="0" applyFont="1" applyFill="1" applyBorder="1" applyAlignment="1">
      <alignment horizontal="center" vertical="center"/>
    </xf>
    <xf numFmtId="0" fontId="5" fillId="41" borderId="0" xfId="0" applyFont="1" applyFill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5" fillId="36" borderId="26" xfId="0" applyFont="1" applyFill="1" applyBorder="1" applyAlignment="1">
      <alignment horizontal="center" vertical="center"/>
    </xf>
    <xf numFmtId="0" fontId="6" fillId="36" borderId="26" xfId="0" applyFont="1" applyFill="1" applyBorder="1" applyAlignment="1">
      <alignment horizontal="center" vertical="center"/>
    </xf>
    <xf numFmtId="0" fontId="6" fillId="36" borderId="29" xfId="0" applyFont="1" applyFill="1" applyBorder="1" applyAlignment="1">
      <alignment horizontal="center" vertical="center"/>
    </xf>
    <xf numFmtId="0" fontId="5" fillId="43" borderId="56" xfId="0" applyFont="1" applyFill="1" applyBorder="1" applyAlignment="1">
      <alignment horizontal="center" vertical="center"/>
    </xf>
    <xf numFmtId="0" fontId="6" fillId="43" borderId="56" xfId="0" applyFont="1" applyFill="1" applyBorder="1" applyAlignment="1">
      <alignment horizontal="center" vertical="center"/>
    </xf>
    <xf numFmtId="0" fontId="5" fillId="44" borderId="56" xfId="0" applyFont="1" applyFill="1" applyBorder="1" applyAlignment="1">
      <alignment horizontal="center" vertical="center"/>
    </xf>
    <xf numFmtId="0" fontId="6" fillId="44" borderId="56" xfId="0" applyFont="1" applyFill="1" applyBorder="1" applyAlignment="1">
      <alignment horizontal="center" vertical="center"/>
    </xf>
    <xf numFmtId="0" fontId="5" fillId="41" borderId="0" xfId="0" applyFont="1" applyFill="1" applyAlignment="1">
      <alignment horizontal="center" vertical="center" wrapText="1"/>
    </xf>
    <xf numFmtId="0" fontId="5" fillId="41" borderId="60" xfId="0" applyFont="1" applyFill="1" applyBorder="1" applyAlignment="1">
      <alignment horizontal="center" vertical="center" wrapText="1"/>
    </xf>
    <xf numFmtId="0" fontId="5" fillId="41" borderId="51" xfId="0" applyFont="1" applyFill="1" applyBorder="1" applyAlignment="1">
      <alignment horizontal="center" vertical="center" textRotation="90" wrapText="1"/>
    </xf>
    <xf numFmtId="0" fontId="6" fillId="41" borderId="0" xfId="0" applyFont="1" applyFill="1" applyAlignment="1">
      <alignment horizontal="center" vertical="center" textRotation="90" wrapText="1"/>
    </xf>
    <xf numFmtId="0" fontId="5" fillId="41" borderId="0" xfId="0" applyFont="1" applyFill="1" applyAlignment="1">
      <alignment horizontal="center" vertical="center" textRotation="90" wrapText="1"/>
    </xf>
    <xf numFmtId="0" fontId="6" fillId="41" borderId="59" xfId="0" applyFont="1" applyFill="1" applyBorder="1" applyAlignment="1">
      <alignment horizontal="center" vertical="center" textRotation="90" wrapText="1"/>
    </xf>
    <xf numFmtId="0" fontId="6" fillId="33" borderId="51" xfId="0" applyFont="1" applyFill="1" applyBorder="1" applyAlignment="1">
      <alignment horizontal="center" vertical="center" textRotation="90"/>
    </xf>
    <xf numFmtId="0" fontId="6" fillId="33" borderId="59" xfId="0" applyFont="1" applyFill="1" applyBorder="1" applyAlignment="1">
      <alignment horizontal="center" vertical="center" textRotation="90"/>
    </xf>
    <xf numFmtId="0" fontId="5" fillId="45" borderId="0" xfId="0" applyFont="1" applyFill="1" applyAlignment="1">
      <alignment horizontal="center" vertical="center"/>
    </xf>
    <xf numFmtId="0" fontId="6" fillId="45" borderId="0" xfId="0" applyFont="1" applyFill="1" applyAlignment="1">
      <alignment horizontal="center" vertical="center"/>
    </xf>
    <xf numFmtId="0" fontId="35" fillId="36" borderId="0" xfId="0" applyFont="1" applyFill="1" applyAlignment="1">
      <alignment horizontal="center" vertical="center" wrapText="1"/>
    </xf>
    <xf numFmtId="0" fontId="35" fillId="43" borderId="51" xfId="0" applyFont="1" applyFill="1" applyBorder="1" applyAlignment="1">
      <alignment horizontal="center" vertical="center" wrapText="1"/>
    </xf>
    <xf numFmtId="0" fontId="6" fillId="33" borderId="60" xfId="0" applyFont="1" applyFill="1" applyBorder="1" applyAlignment="1">
      <alignment horizontal="center" vertical="center" wrapText="1"/>
    </xf>
    <xf numFmtId="0" fontId="35" fillId="41" borderId="0" xfId="0" applyFont="1" applyFill="1" applyAlignment="1">
      <alignment horizontal="center" vertical="center" wrapText="1"/>
    </xf>
    <xf numFmtId="0" fontId="5" fillId="40" borderId="60" xfId="0" applyFont="1" applyFill="1" applyBorder="1" applyAlignment="1">
      <alignment horizontal="center" vertical="center"/>
    </xf>
    <xf numFmtId="0" fontId="5" fillId="40" borderId="0" xfId="0" applyFont="1" applyFill="1" applyAlignment="1">
      <alignment horizontal="center" vertical="center" wrapText="1"/>
    </xf>
    <xf numFmtId="0" fontId="34" fillId="39" borderId="60" xfId="0" applyFont="1" applyFill="1" applyBorder="1" applyAlignment="1">
      <alignment horizontal="center" vertical="center"/>
    </xf>
    <xf numFmtId="0" fontId="5" fillId="36" borderId="52" xfId="0" applyFont="1" applyFill="1" applyBorder="1" applyAlignment="1">
      <alignment horizontal="center" vertical="center"/>
    </xf>
    <xf numFmtId="0" fontId="5" fillId="36" borderId="80" xfId="0" applyFont="1" applyFill="1" applyBorder="1" applyAlignment="1">
      <alignment horizontal="center" vertical="center"/>
    </xf>
    <xf numFmtId="0" fontId="5" fillId="36" borderId="81" xfId="0" applyFont="1" applyFill="1" applyBorder="1" applyAlignment="1">
      <alignment horizontal="center" vertical="center"/>
    </xf>
    <xf numFmtId="0" fontId="5" fillId="36" borderId="54" xfId="0" applyFont="1" applyFill="1" applyBorder="1" applyAlignment="1">
      <alignment horizontal="center" vertical="center"/>
    </xf>
    <xf numFmtId="0" fontId="35" fillId="40" borderId="0" xfId="0" applyFont="1" applyFill="1" applyAlignment="1">
      <alignment horizontal="center" vertical="center"/>
    </xf>
    <xf numFmtId="0" fontId="35" fillId="36" borderId="44" xfId="0" applyFont="1" applyFill="1" applyBorder="1" applyAlignment="1">
      <alignment horizontal="center" vertical="center" wrapText="1"/>
    </xf>
    <xf numFmtId="0" fontId="35" fillId="36" borderId="34" xfId="0" applyFont="1" applyFill="1" applyBorder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2" fillId="33" borderId="60" xfId="0" applyFont="1" applyFill="1" applyBorder="1" applyAlignment="1">
      <alignment horizontal="center" vertical="center" wrapText="1"/>
    </xf>
    <xf numFmtId="0" fontId="2" fillId="33" borderId="51" xfId="0" applyFont="1" applyFill="1" applyBorder="1" applyAlignment="1">
      <alignment horizontal="center" vertical="center" textRotation="90"/>
    </xf>
    <xf numFmtId="0" fontId="2" fillId="33" borderId="0" xfId="0" applyFont="1" applyFill="1" applyAlignment="1">
      <alignment horizontal="center" vertical="center" textRotation="90"/>
    </xf>
    <xf numFmtId="0" fontId="35" fillId="36" borderId="35" xfId="0" applyFont="1" applyFill="1" applyBorder="1" applyAlignment="1">
      <alignment horizontal="center" vertical="center" wrapText="1"/>
    </xf>
    <xf numFmtId="0" fontId="35" fillId="36" borderId="51" xfId="0" applyFont="1" applyFill="1" applyBorder="1" applyAlignment="1">
      <alignment horizontal="center" vertical="center" wrapText="1"/>
    </xf>
    <xf numFmtId="0" fontId="35" fillId="36" borderId="45" xfId="0" applyFont="1" applyFill="1" applyBorder="1" applyAlignment="1">
      <alignment horizontal="center" vertical="center" wrapText="1"/>
    </xf>
    <xf numFmtId="0" fontId="35" fillId="36" borderId="60" xfId="0" applyFont="1" applyFill="1" applyBorder="1" applyAlignment="1">
      <alignment horizontal="center" vertical="center" wrapText="1"/>
    </xf>
    <xf numFmtId="0" fontId="35" fillId="36" borderId="49" xfId="0" applyFont="1" applyFill="1" applyBorder="1" applyAlignment="1">
      <alignment horizontal="center" vertical="center" wrapText="1"/>
    </xf>
    <xf numFmtId="0" fontId="4" fillId="33" borderId="51" xfId="0" applyFont="1" applyFill="1" applyBorder="1" applyAlignment="1">
      <alignment horizontal="center" vertical="center" textRotation="90"/>
    </xf>
    <xf numFmtId="0" fontId="4" fillId="33" borderId="59" xfId="0" applyFont="1" applyFill="1" applyBorder="1" applyAlignment="1">
      <alignment horizontal="center" vertical="center" textRotation="90"/>
    </xf>
    <xf numFmtId="0" fontId="4" fillId="33" borderId="0" xfId="0" applyFont="1" applyFill="1" applyAlignment="1">
      <alignment horizontal="center" vertical="center" textRotation="90"/>
    </xf>
    <xf numFmtId="0" fontId="4" fillId="33" borderId="0" xfId="0" applyFont="1" applyFill="1" applyAlignment="1">
      <alignment horizontal="center" vertical="center" wrapText="1"/>
    </xf>
    <xf numFmtId="0" fontId="6" fillId="33" borderId="49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1" fillId="0" borderId="44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44" xfId="0" applyFont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8000"/>
      <color rgb="FF00CED1"/>
      <color rgb="FF8B0000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31297</xdr:colOff>
      <xdr:row>6</xdr:row>
      <xdr:rowOff>19051</xdr:rowOff>
    </xdr:from>
    <xdr:ext cx="190372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126797" y="1276351"/>
              <a:ext cx="19037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126797" y="1276351"/>
              <a:ext cx="19037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𝑧_𝑖𝑗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</xdr:col>
      <xdr:colOff>58512</xdr:colOff>
      <xdr:row>9</xdr:row>
      <xdr:rowOff>84365</xdr:rowOff>
    </xdr:from>
    <xdr:ext cx="152478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62684210-7C69-492B-A2A8-003A8CB45087}"/>
                </a:ext>
              </a:extLst>
            </xdr:cNvPr>
            <xdr:cNvSpPr txBox="1"/>
          </xdr:nvSpPr>
          <xdr:spPr>
            <a:xfrm>
              <a:off x="2154012" y="2043794"/>
              <a:ext cx="152478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62684210-7C69-492B-A2A8-003A8CB45087}"/>
                </a:ext>
              </a:extLst>
            </xdr:cNvPr>
            <xdr:cNvSpPr txBox="1"/>
          </xdr:nvSpPr>
          <xdr:spPr>
            <a:xfrm>
              <a:off x="2154012" y="2043794"/>
              <a:ext cx="152478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𝑣_𝑗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</xdr:col>
      <xdr:colOff>36739</xdr:colOff>
      <xdr:row>11</xdr:row>
      <xdr:rowOff>78921</xdr:rowOff>
    </xdr:from>
    <xdr:ext cx="195310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1">
              <a:extLst>
                <a:ext uri="{FF2B5EF4-FFF2-40B4-BE49-F238E27FC236}">
                  <a16:creationId xmlns:a16="http://schemas.microsoft.com/office/drawing/2014/main" id="{7BB391DA-95C9-40F0-8569-306D5AB8859E}"/>
                </a:ext>
              </a:extLst>
            </xdr:cNvPr>
            <xdr:cNvSpPr txBox="1"/>
          </xdr:nvSpPr>
          <xdr:spPr>
            <a:xfrm>
              <a:off x="2132239" y="2321378"/>
              <a:ext cx="195310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1">
              <a:extLst>
                <a:ext uri="{FF2B5EF4-FFF2-40B4-BE49-F238E27FC236}">
                  <a16:creationId xmlns:a16="http://schemas.microsoft.com/office/drawing/2014/main" id="{7BB391DA-95C9-40F0-8569-306D5AB8859E}"/>
                </a:ext>
              </a:extLst>
            </xdr:cNvPr>
            <xdr:cNvSpPr txBox="1"/>
          </xdr:nvSpPr>
          <xdr:spPr>
            <a:xfrm>
              <a:off x="2132239" y="2321378"/>
              <a:ext cx="195310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𝑚_𝑗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</xdr:col>
      <xdr:colOff>48985</xdr:colOff>
      <xdr:row>14</xdr:row>
      <xdr:rowOff>119742</xdr:rowOff>
    </xdr:from>
    <xdr:ext cx="150811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1">
              <a:extLst>
                <a:ext uri="{FF2B5EF4-FFF2-40B4-BE49-F238E27FC236}">
                  <a16:creationId xmlns:a16="http://schemas.microsoft.com/office/drawing/2014/main" id="{5E4999EA-A0A6-4FB5-A614-5139A14F9707}"/>
                </a:ext>
              </a:extLst>
            </xdr:cNvPr>
            <xdr:cNvSpPr txBox="1"/>
          </xdr:nvSpPr>
          <xdr:spPr>
            <a:xfrm>
              <a:off x="2144485" y="2726871"/>
              <a:ext cx="15081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1">
              <a:extLst>
                <a:ext uri="{FF2B5EF4-FFF2-40B4-BE49-F238E27FC236}">
                  <a16:creationId xmlns:a16="http://schemas.microsoft.com/office/drawing/2014/main" id="{5E4999EA-A0A6-4FB5-A614-5139A14F9707}"/>
                </a:ext>
              </a:extLst>
            </xdr:cNvPr>
            <xdr:cNvSpPr txBox="1"/>
          </xdr:nvSpPr>
          <xdr:spPr>
            <a:xfrm>
              <a:off x="2144485" y="2726871"/>
              <a:ext cx="15081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𝑥_𝑗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266700</xdr:colOff>
      <xdr:row>6</xdr:row>
      <xdr:rowOff>5442</xdr:rowOff>
    </xdr:from>
    <xdr:ext cx="1510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">
              <a:extLst>
                <a:ext uri="{FF2B5EF4-FFF2-40B4-BE49-F238E27FC236}">
                  <a16:creationId xmlns:a16="http://schemas.microsoft.com/office/drawing/2014/main" id="{914E3ABE-F2DC-4E16-A164-4B3FD0DAB121}"/>
                </a:ext>
              </a:extLst>
            </xdr:cNvPr>
            <xdr:cNvSpPr txBox="1"/>
          </xdr:nvSpPr>
          <xdr:spPr>
            <a:xfrm>
              <a:off x="4272643" y="1262742"/>
              <a:ext cx="1510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1">
              <a:extLst>
                <a:ext uri="{FF2B5EF4-FFF2-40B4-BE49-F238E27FC236}">
                  <a16:creationId xmlns:a16="http://schemas.microsoft.com/office/drawing/2014/main" id="{914E3ABE-F2DC-4E16-A164-4B3FD0DAB121}"/>
                </a:ext>
              </a:extLst>
            </xdr:cNvPr>
            <xdr:cNvSpPr txBox="1"/>
          </xdr:nvSpPr>
          <xdr:spPr>
            <a:xfrm>
              <a:off x="4272643" y="1262742"/>
              <a:ext cx="1510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𝑥_𝑖</a:t>
              </a:r>
              <a:endParaRPr lang="es-MX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128951</xdr:colOff>
      <xdr:row>7</xdr:row>
      <xdr:rowOff>130787</xdr:rowOff>
    </xdr:from>
    <xdr:ext cx="282706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2501042" y="1605330"/>
              <a:ext cx="282706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2501042" y="1605330"/>
              <a:ext cx="282706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𝑍^(𝐴,𝐴)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80596</xdr:colOff>
      <xdr:row>7</xdr:row>
      <xdr:rowOff>161192</xdr:rowOff>
    </xdr:from>
    <xdr:ext cx="280461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3991341" y="1635735"/>
              <a:ext cx="28046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3991341" y="1635735"/>
              <a:ext cx="28046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𝑍^(𝐴,𝐶)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128222</xdr:colOff>
      <xdr:row>15</xdr:row>
      <xdr:rowOff>95249</xdr:rowOff>
    </xdr:from>
    <xdr:ext cx="284373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500313" y="3108446"/>
              <a:ext cx="284373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2500313" y="3108446"/>
              <a:ext cx="284373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𝑍^(𝐶,𝐴)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112102</xdr:colOff>
      <xdr:row>11</xdr:row>
      <xdr:rowOff>126755</xdr:rowOff>
    </xdr:from>
    <xdr:ext cx="282513" cy="1296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2484193" y="2370625"/>
              <a:ext cx="282513" cy="129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2484193" y="2370625"/>
              <a:ext cx="282513" cy="129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𝑍^(𝐵,𝐴)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102576</xdr:colOff>
      <xdr:row>11</xdr:row>
      <xdr:rowOff>146539</xdr:rowOff>
    </xdr:from>
    <xdr:ext cx="285912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3243994" y="2390409"/>
              <a:ext cx="285912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/>
            <xdr:cNvSpPr txBox="1"/>
          </xdr:nvSpPr>
          <xdr:spPr>
            <a:xfrm>
              <a:off x="3243994" y="2390409"/>
              <a:ext cx="285912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𝑍^(𝐵,𝐵)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69606</xdr:colOff>
      <xdr:row>7</xdr:row>
      <xdr:rowOff>155696</xdr:rowOff>
    </xdr:from>
    <xdr:ext cx="286104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3211024" y="1630239"/>
              <a:ext cx="286104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/>
            <xdr:cNvSpPr txBox="1"/>
          </xdr:nvSpPr>
          <xdr:spPr>
            <a:xfrm>
              <a:off x="3211024" y="1630239"/>
              <a:ext cx="286104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𝑍^(𝐴,𝐵)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56785</xdr:colOff>
      <xdr:row>11</xdr:row>
      <xdr:rowOff>148370</xdr:rowOff>
    </xdr:from>
    <xdr:ext cx="280270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3967530" y="2392240"/>
              <a:ext cx="280270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/>
            <xdr:cNvSpPr txBox="1"/>
          </xdr:nvSpPr>
          <xdr:spPr>
            <a:xfrm>
              <a:off x="3967530" y="2392240"/>
              <a:ext cx="280270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𝑍^(𝐵,𝐶)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78764</xdr:colOff>
      <xdr:row>15</xdr:row>
      <xdr:rowOff>122726</xdr:rowOff>
    </xdr:from>
    <xdr:ext cx="282129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3989509" y="3135923"/>
              <a:ext cx="282129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/>
            <xdr:cNvSpPr txBox="1"/>
          </xdr:nvSpPr>
          <xdr:spPr>
            <a:xfrm>
              <a:off x="3989509" y="3135923"/>
              <a:ext cx="282129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𝑍^(𝐶,𝐶)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97083</xdr:colOff>
      <xdr:row>15</xdr:row>
      <xdr:rowOff>119062</xdr:rowOff>
    </xdr:from>
    <xdr:ext cx="287771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3238501" y="3132259"/>
              <a:ext cx="28777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/>
            <xdr:cNvSpPr txBox="1"/>
          </xdr:nvSpPr>
          <xdr:spPr>
            <a:xfrm>
              <a:off x="3238501" y="3132259"/>
              <a:ext cx="28777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𝑍^(𝐶,𝐵)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7327</xdr:colOff>
      <xdr:row>7</xdr:row>
      <xdr:rowOff>161192</xdr:rowOff>
    </xdr:from>
    <xdr:ext cx="444865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4687399" y="1635735"/>
              <a:ext cx="444865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/>
            <xdr:cNvSpPr txBox="1"/>
          </xdr:nvSpPr>
          <xdr:spPr>
            <a:xfrm>
              <a:off x="4687399" y="1635735"/>
              <a:ext cx="444865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𝑍^(𝐴,𝑅𝑜𝑊)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1832</xdr:colOff>
      <xdr:row>11</xdr:row>
      <xdr:rowOff>139212</xdr:rowOff>
    </xdr:from>
    <xdr:ext cx="435632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4681904" y="2383082"/>
              <a:ext cx="435632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4" name="CuadroTexto 13"/>
            <xdr:cNvSpPr txBox="1"/>
          </xdr:nvSpPr>
          <xdr:spPr>
            <a:xfrm>
              <a:off x="4681904" y="2383082"/>
              <a:ext cx="435632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𝑍^(𝐵,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𝑅𝑜𝑊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18</xdr:col>
      <xdr:colOff>170352</xdr:colOff>
      <xdr:row>15</xdr:row>
      <xdr:rowOff>122726</xdr:rowOff>
    </xdr:from>
    <xdr:ext cx="437491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4658092" y="3135923"/>
              <a:ext cx="437491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5" name="CuadroTexto 14"/>
            <xdr:cNvSpPr txBox="1"/>
          </xdr:nvSpPr>
          <xdr:spPr>
            <a:xfrm>
              <a:off x="4658092" y="3135923"/>
              <a:ext cx="437491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𝑍^(𝐶,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𝑅𝑜𝑊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64111</xdr:colOff>
      <xdr:row>19</xdr:row>
      <xdr:rowOff>131885</xdr:rowOff>
    </xdr:from>
    <xdr:ext cx="441275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2436202" y="3914409"/>
              <a:ext cx="441275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6" name="CuadroTexto 15"/>
            <xdr:cNvSpPr txBox="1"/>
          </xdr:nvSpPr>
          <xdr:spPr>
            <a:xfrm>
              <a:off x="2436202" y="3914409"/>
              <a:ext cx="441275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𝑍^(𝑅𝑜𝑊,𝐴)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14654</xdr:colOff>
      <xdr:row>19</xdr:row>
      <xdr:rowOff>122725</xdr:rowOff>
    </xdr:from>
    <xdr:ext cx="439031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3925399" y="3905249"/>
              <a:ext cx="43903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7" name="CuadroTexto 16"/>
            <xdr:cNvSpPr txBox="1"/>
          </xdr:nvSpPr>
          <xdr:spPr>
            <a:xfrm>
              <a:off x="3925399" y="3905249"/>
              <a:ext cx="43903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𝑍^(𝑅𝑜𝑊,𝐶)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32971</xdr:colOff>
      <xdr:row>19</xdr:row>
      <xdr:rowOff>119063</xdr:rowOff>
    </xdr:from>
    <xdr:ext cx="444674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3174389" y="3901587"/>
              <a:ext cx="44467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/>
            <xdr:cNvSpPr txBox="1"/>
          </xdr:nvSpPr>
          <xdr:spPr>
            <a:xfrm>
              <a:off x="3174389" y="3901587"/>
              <a:ext cx="44467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𝑍^(𝑅𝑜𝑊,𝐵)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18</xdr:col>
      <xdr:colOff>108239</xdr:colOff>
      <xdr:row>19</xdr:row>
      <xdr:rowOff>123725</xdr:rowOff>
    </xdr:from>
    <xdr:ext cx="594393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/>
          </xdr:nvSpPr>
          <xdr:spPr>
            <a:xfrm>
              <a:off x="4559012" y="3734566"/>
              <a:ext cx="594393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9" name="CuadroTexto 18"/>
            <xdr:cNvSpPr txBox="1"/>
          </xdr:nvSpPr>
          <xdr:spPr>
            <a:xfrm>
              <a:off x="4559012" y="3734566"/>
              <a:ext cx="594393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𝑍^(𝑅𝑜𝑊,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𝑅𝑜𝑊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134084</xdr:colOff>
      <xdr:row>23</xdr:row>
      <xdr:rowOff>9525</xdr:rowOff>
    </xdr:from>
    <xdr:ext cx="287066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2414589" y="5138371"/>
              <a:ext cx="287066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𝑉𝐴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0" name="CuadroTexto 19"/>
            <xdr:cNvSpPr txBox="1"/>
          </xdr:nvSpPr>
          <xdr:spPr>
            <a:xfrm>
              <a:off x="2414589" y="5138371"/>
              <a:ext cx="287066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𝑉𝐴〗^𝐴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130787</xdr:colOff>
      <xdr:row>23</xdr:row>
      <xdr:rowOff>15387</xdr:rowOff>
    </xdr:from>
    <xdr:ext cx="286424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 txBox="1"/>
          </xdr:nvSpPr>
          <xdr:spPr>
            <a:xfrm>
              <a:off x="3400426" y="5144233"/>
              <a:ext cx="28642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𝑉𝐴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1" name="CuadroTexto 20"/>
            <xdr:cNvSpPr txBox="1"/>
          </xdr:nvSpPr>
          <xdr:spPr>
            <a:xfrm>
              <a:off x="3400426" y="5144233"/>
              <a:ext cx="28642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𝑉𝐴〗^𝐵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154965</xdr:colOff>
      <xdr:row>23</xdr:row>
      <xdr:rowOff>12090</xdr:rowOff>
    </xdr:from>
    <xdr:ext cx="280781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 txBox="1"/>
          </xdr:nvSpPr>
          <xdr:spPr>
            <a:xfrm>
              <a:off x="4413739" y="5140936"/>
              <a:ext cx="28078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𝑉𝐴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2" name="CuadroTexto 21"/>
            <xdr:cNvSpPr txBox="1"/>
          </xdr:nvSpPr>
          <xdr:spPr>
            <a:xfrm>
              <a:off x="4413739" y="5140936"/>
              <a:ext cx="28078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𝑉𝐴〗^𝐶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41764</xdr:colOff>
      <xdr:row>23</xdr:row>
      <xdr:rowOff>8793</xdr:rowOff>
    </xdr:from>
    <xdr:ext cx="445186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 txBox="1"/>
          </xdr:nvSpPr>
          <xdr:spPr>
            <a:xfrm>
              <a:off x="4721836" y="4542327"/>
              <a:ext cx="445186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𝑉𝐴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3" name="CuadroTexto 22"/>
            <xdr:cNvSpPr txBox="1"/>
          </xdr:nvSpPr>
          <xdr:spPr>
            <a:xfrm>
              <a:off x="4721836" y="4542327"/>
              <a:ext cx="445186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𝑉𝐴〗^𝑅𝑜𝑊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24</xdr:col>
      <xdr:colOff>82427</xdr:colOff>
      <xdr:row>7</xdr:row>
      <xdr:rowOff>119063</xdr:rowOff>
    </xdr:from>
    <xdr:ext cx="284180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 txBox="1"/>
          </xdr:nvSpPr>
          <xdr:spPr>
            <a:xfrm>
              <a:off x="5623413" y="1593606"/>
              <a:ext cx="284180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4" name="CuadroTexto 23"/>
            <xdr:cNvSpPr txBox="1"/>
          </xdr:nvSpPr>
          <xdr:spPr>
            <a:xfrm>
              <a:off x="5623413" y="1593606"/>
              <a:ext cx="284180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𝑌^(𝐴,𝐴)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27</xdr:col>
      <xdr:colOff>48843</xdr:colOff>
      <xdr:row>7</xdr:row>
      <xdr:rowOff>146538</xdr:rowOff>
    </xdr:from>
    <xdr:ext cx="28757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6581406" y="1543538"/>
              <a:ext cx="28757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6581406" y="1543538"/>
              <a:ext cx="28757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𝑌^(𝐴,𝐵)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60815</xdr:colOff>
      <xdr:row>25</xdr:row>
      <xdr:rowOff>110271</xdr:rowOff>
    </xdr:from>
    <xdr:ext cx="38266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 txBox="1"/>
          </xdr:nvSpPr>
          <xdr:spPr>
            <a:xfrm>
              <a:off x="2432906" y="4918564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6" name="CuadroTexto 25"/>
            <xdr:cNvSpPr txBox="1"/>
          </xdr:nvSpPr>
          <xdr:spPr>
            <a:xfrm>
              <a:off x="2432906" y="4918564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𝑉𝐵𝑃〗^𝐴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39201</xdr:colOff>
      <xdr:row>25</xdr:row>
      <xdr:rowOff>116132</xdr:rowOff>
    </xdr:from>
    <xdr:ext cx="38266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3180619" y="4924425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7" name="CuadroTexto 26"/>
            <xdr:cNvSpPr txBox="1"/>
          </xdr:nvSpPr>
          <xdr:spPr>
            <a:xfrm>
              <a:off x="3180619" y="4924425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𝑉𝐵𝑃〗^𝐵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30</xdr:col>
      <xdr:colOff>58982</xdr:colOff>
      <xdr:row>7</xdr:row>
      <xdr:rowOff>157894</xdr:rowOff>
    </xdr:from>
    <xdr:ext cx="280461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 txBox="1"/>
          </xdr:nvSpPr>
          <xdr:spPr>
            <a:xfrm>
              <a:off x="7138621" y="1632437"/>
              <a:ext cx="28046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8" name="CuadroTexto 27"/>
            <xdr:cNvSpPr txBox="1"/>
          </xdr:nvSpPr>
          <xdr:spPr>
            <a:xfrm>
              <a:off x="7138621" y="1632437"/>
              <a:ext cx="280461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𝑌^(𝐴,𝐶)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32</xdr:col>
      <xdr:colOff>134560</xdr:colOff>
      <xdr:row>7</xdr:row>
      <xdr:rowOff>158398</xdr:rowOff>
    </xdr:from>
    <xdr:ext cx="446341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7777239" y="1554750"/>
              <a:ext cx="446341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7777239" y="1554750"/>
              <a:ext cx="446341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𝑌^(𝐴,𝑅𝑜𝑊)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24</xdr:col>
      <xdr:colOff>101476</xdr:colOff>
      <xdr:row>11</xdr:row>
      <xdr:rowOff>117962</xdr:rowOff>
    </xdr:from>
    <xdr:ext cx="28398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5642462" y="2361832"/>
              <a:ext cx="28398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0" name="CuadroTexto 29"/>
            <xdr:cNvSpPr txBox="1"/>
          </xdr:nvSpPr>
          <xdr:spPr>
            <a:xfrm>
              <a:off x="5642462" y="2361832"/>
              <a:ext cx="28398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𝑌^(𝐵,𝐴)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27</xdr:col>
      <xdr:colOff>68992</xdr:colOff>
      <xdr:row>11</xdr:row>
      <xdr:rowOff>137380</xdr:rowOff>
    </xdr:from>
    <xdr:ext cx="287386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6601555" y="2296380"/>
              <a:ext cx="287386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6601555" y="2296380"/>
              <a:ext cx="287386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𝑌^(𝐵,𝐵)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30</xdr:col>
      <xdr:colOff>82428</xdr:colOff>
      <xdr:row>11</xdr:row>
      <xdr:rowOff>155698</xdr:rowOff>
    </xdr:from>
    <xdr:ext cx="281744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 txBox="1"/>
          </xdr:nvSpPr>
          <xdr:spPr>
            <a:xfrm>
              <a:off x="7162067" y="2399568"/>
              <a:ext cx="28174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2" name="CuadroTexto 31"/>
            <xdr:cNvSpPr txBox="1"/>
          </xdr:nvSpPr>
          <xdr:spPr>
            <a:xfrm>
              <a:off x="7162067" y="2399568"/>
              <a:ext cx="28174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𝑌^(𝐵,𝐶)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32</xdr:col>
      <xdr:colOff>161865</xdr:colOff>
      <xdr:row>11</xdr:row>
      <xdr:rowOff>154575</xdr:rowOff>
    </xdr:from>
    <xdr:ext cx="446148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 txBox="1"/>
          </xdr:nvSpPr>
          <xdr:spPr>
            <a:xfrm>
              <a:off x="7804544" y="2315519"/>
              <a:ext cx="44614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 txBox="1"/>
          </xdr:nvSpPr>
          <xdr:spPr>
            <a:xfrm>
              <a:off x="7804544" y="2315519"/>
              <a:ext cx="44614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𝑌^(𝐵,𝑅𝑜𝑊)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24</xdr:col>
      <xdr:colOff>107337</xdr:colOff>
      <xdr:row>15</xdr:row>
      <xdr:rowOff>142140</xdr:rowOff>
    </xdr:from>
    <xdr:ext cx="285847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 txBox="1"/>
          </xdr:nvSpPr>
          <xdr:spPr>
            <a:xfrm>
              <a:off x="5648323" y="3155337"/>
              <a:ext cx="285847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4" name="CuadroTexto 33"/>
            <xdr:cNvSpPr txBox="1"/>
          </xdr:nvSpPr>
          <xdr:spPr>
            <a:xfrm>
              <a:off x="5648323" y="3155337"/>
              <a:ext cx="285847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𝑌^(𝐶,𝐴)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27</xdr:col>
      <xdr:colOff>58613</xdr:colOff>
      <xdr:row>15</xdr:row>
      <xdr:rowOff>146539</xdr:rowOff>
    </xdr:from>
    <xdr:ext cx="289246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6591176" y="3067539"/>
              <a:ext cx="289246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6591176" y="3067539"/>
              <a:ext cx="289246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𝑌^(𝐶,𝐵)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30</xdr:col>
      <xdr:colOff>73270</xdr:colOff>
      <xdr:row>15</xdr:row>
      <xdr:rowOff>137380</xdr:rowOff>
    </xdr:from>
    <xdr:ext cx="283604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 txBox="1"/>
          </xdr:nvSpPr>
          <xdr:spPr>
            <a:xfrm>
              <a:off x="7152909" y="3150577"/>
              <a:ext cx="28360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6" name="CuadroTexto 35"/>
            <xdr:cNvSpPr txBox="1"/>
          </xdr:nvSpPr>
          <xdr:spPr>
            <a:xfrm>
              <a:off x="7152909" y="3150577"/>
              <a:ext cx="28360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𝑌^(𝐶,𝐶)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32</xdr:col>
      <xdr:colOff>192651</xdr:colOff>
      <xdr:row>15</xdr:row>
      <xdr:rowOff>127100</xdr:rowOff>
    </xdr:from>
    <xdr:ext cx="448008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 txBox="1"/>
          </xdr:nvSpPr>
          <xdr:spPr>
            <a:xfrm>
              <a:off x="7835330" y="3052636"/>
              <a:ext cx="448008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 txBox="1"/>
          </xdr:nvSpPr>
          <xdr:spPr>
            <a:xfrm>
              <a:off x="7835330" y="3052636"/>
              <a:ext cx="448008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𝑌^(𝐶,𝑅𝑜𝑊)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23</xdr:col>
      <xdr:colOff>227033</xdr:colOff>
      <xdr:row>19</xdr:row>
      <xdr:rowOff>108225</xdr:rowOff>
    </xdr:from>
    <xdr:ext cx="44274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 txBox="1"/>
          </xdr:nvSpPr>
          <xdr:spPr>
            <a:xfrm>
              <a:off x="5799482" y="3798353"/>
              <a:ext cx="44274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 txBox="1"/>
          </xdr:nvSpPr>
          <xdr:spPr>
            <a:xfrm>
              <a:off x="5799482" y="3798353"/>
              <a:ext cx="44274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𝑌^(𝑅𝑜𝑊,𝐴)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26</xdr:col>
      <xdr:colOff>160868</xdr:colOff>
      <xdr:row>19</xdr:row>
      <xdr:rowOff>105544</xdr:rowOff>
    </xdr:from>
    <xdr:ext cx="446148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SpPr txBox="1"/>
          </xdr:nvSpPr>
          <xdr:spPr>
            <a:xfrm>
              <a:off x="6423394" y="3795672"/>
              <a:ext cx="44614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SpPr txBox="1"/>
          </xdr:nvSpPr>
          <xdr:spPr>
            <a:xfrm>
              <a:off x="6423394" y="3795672"/>
              <a:ext cx="44614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𝑌^(𝑅𝑜𝑊,𝐵)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29</xdr:col>
      <xdr:colOff>125978</xdr:colOff>
      <xdr:row>19</xdr:row>
      <xdr:rowOff>107662</xdr:rowOff>
    </xdr:from>
    <xdr:ext cx="440505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 txBox="1"/>
          </xdr:nvSpPr>
          <xdr:spPr>
            <a:xfrm>
              <a:off x="7078580" y="3797790"/>
              <a:ext cx="44050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 txBox="1"/>
          </xdr:nvSpPr>
          <xdr:spPr>
            <a:xfrm>
              <a:off x="7078580" y="3797790"/>
              <a:ext cx="44050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𝑌^(𝑅𝑜𝑊,𝐶)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32</xdr:col>
      <xdr:colOff>55085</xdr:colOff>
      <xdr:row>19</xdr:row>
      <xdr:rowOff>108221</xdr:rowOff>
    </xdr:from>
    <xdr:ext cx="604909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SpPr txBox="1"/>
          </xdr:nvSpPr>
          <xdr:spPr>
            <a:xfrm>
              <a:off x="7697764" y="3798349"/>
              <a:ext cx="60490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SpPr txBox="1"/>
          </xdr:nvSpPr>
          <xdr:spPr>
            <a:xfrm>
              <a:off x="7697764" y="3798349"/>
              <a:ext cx="60490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𝑌^(𝑅𝑜𝑊,𝑅𝑜𝑊)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15</xdr:col>
      <xdr:colOff>17587</xdr:colOff>
      <xdr:row>25</xdr:row>
      <xdr:rowOff>103676</xdr:rowOff>
    </xdr:from>
    <xdr:ext cx="376385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SpPr txBox="1"/>
          </xdr:nvSpPr>
          <xdr:spPr>
            <a:xfrm>
              <a:off x="3928332" y="4911969"/>
              <a:ext cx="37638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3" name="CuadroTexto 42"/>
            <xdr:cNvSpPr txBox="1"/>
          </xdr:nvSpPr>
          <xdr:spPr>
            <a:xfrm>
              <a:off x="3928332" y="4911969"/>
              <a:ext cx="37638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𝑉𝐵𝑃〗^𝐶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18317</xdr:colOff>
      <xdr:row>25</xdr:row>
      <xdr:rowOff>100746</xdr:rowOff>
    </xdr:from>
    <xdr:ext cx="540789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 txBox="1"/>
          </xdr:nvSpPr>
          <xdr:spPr>
            <a:xfrm>
              <a:off x="4698389" y="4909039"/>
              <a:ext cx="5407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4" name="CuadroTexto 43"/>
            <xdr:cNvSpPr txBox="1"/>
          </xdr:nvSpPr>
          <xdr:spPr>
            <a:xfrm>
              <a:off x="4698389" y="4909039"/>
              <a:ext cx="5407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𝑉𝐵𝑃〗^𝑅𝑜𝑊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36</xdr:col>
      <xdr:colOff>201490</xdr:colOff>
      <xdr:row>11</xdr:row>
      <xdr:rowOff>164856</xdr:rowOff>
    </xdr:from>
    <xdr:ext cx="38266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SpPr txBox="1"/>
          </xdr:nvSpPr>
          <xdr:spPr>
            <a:xfrm>
              <a:off x="8719038" y="2408726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5" name="CuadroTexto 44"/>
            <xdr:cNvSpPr txBox="1"/>
          </xdr:nvSpPr>
          <xdr:spPr>
            <a:xfrm>
              <a:off x="8719038" y="2408726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𝑉𝐵𝑃〗^𝐵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36</xdr:col>
      <xdr:colOff>210650</xdr:colOff>
      <xdr:row>7</xdr:row>
      <xdr:rowOff>137380</xdr:rowOff>
    </xdr:from>
    <xdr:ext cx="382669" cy="176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 txBox="1"/>
          </xdr:nvSpPr>
          <xdr:spPr>
            <a:xfrm>
              <a:off x="8728198" y="1611923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6" name="CuadroTexto 45"/>
            <xdr:cNvSpPr txBox="1"/>
          </xdr:nvSpPr>
          <xdr:spPr>
            <a:xfrm>
              <a:off x="8728198" y="1611923"/>
              <a:ext cx="382669" cy="176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𝑉𝐵𝑃〗^𝐴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36</xdr:col>
      <xdr:colOff>183173</xdr:colOff>
      <xdr:row>15</xdr:row>
      <xdr:rowOff>91587</xdr:rowOff>
    </xdr:from>
    <xdr:ext cx="376385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 txBox="1"/>
          </xdr:nvSpPr>
          <xdr:spPr>
            <a:xfrm>
              <a:off x="8700721" y="3104784"/>
              <a:ext cx="37638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7" name="CuadroTexto 46"/>
            <xdr:cNvSpPr txBox="1"/>
          </xdr:nvSpPr>
          <xdr:spPr>
            <a:xfrm>
              <a:off x="8700721" y="3104784"/>
              <a:ext cx="376385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𝑉𝐵𝑃〗^𝐶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36</xdr:col>
      <xdr:colOff>174014</xdr:colOff>
      <xdr:row>19</xdr:row>
      <xdr:rowOff>109904</xdr:rowOff>
    </xdr:from>
    <xdr:ext cx="540789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 txBox="1"/>
          </xdr:nvSpPr>
          <xdr:spPr>
            <a:xfrm>
              <a:off x="8691562" y="3892428"/>
              <a:ext cx="5407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𝑉𝐵𝑃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𝑅𝑜𝑊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8" name="CuadroTexto 47"/>
            <xdr:cNvSpPr txBox="1"/>
          </xdr:nvSpPr>
          <xdr:spPr>
            <a:xfrm>
              <a:off x="8691562" y="3892428"/>
              <a:ext cx="5407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𝑉𝐵𝑃〗^𝑅𝑜𝑊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zoomScaleNormal="100" workbookViewId="0">
      <selection activeCell="P8" sqref="P8:U18"/>
    </sheetView>
  </sheetViews>
  <sheetFormatPr defaultColWidth="11.54296875" defaultRowHeight="13" x14ac:dyDescent="0.3"/>
  <cols>
    <col min="1" max="1" width="2.6328125" style="1" customWidth="1"/>
    <col min="2" max="2" width="22.6328125" style="1" customWidth="1"/>
    <col min="3" max="3" width="26.54296875" style="1" customWidth="1"/>
    <col min="4" max="4" width="0.90625" style="1" customWidth="1"/>
    <col min="5" max="5" width="33.36328125" style="1" customWidth="1"/>
    <col min="6" max="6" width="1.6328125" style="1" customWidth="1"/>
    <col min="7" max="13" width="2.90625" style="1" customWidth="1"/>
    <col min="14" max="14" width="3.453125" style="1" bestFit="1" customWidth="1"/>
    <col min="15" max="21" width="2.90625" style="1" customWidth="1"/>
    <col min="22" max="22" width="1.6328125" style="1" customWidth="1"/>
    <col min="23" max="23" width="10.453125" style="1" customWidth="1"/>
  </cols>
  <sheetData>
    <row r="1" spans="2:23" s="1" customFormat="1" ht="15.5" x14ac:dyDescent="0.35">
      <c r="C1" s="421" t="s">
        <v>19</v>
      </c>
      <c r="D1" s="421"/>
      <c r="E1" s="421"/>
      <c r="I1" s="2"/>
    </row>
    <row r="2" spans="2:23" s="1" customFormat="1" x14ac:dyDescent="0.3">
      <c r="C2" s="1" t="s">
        <v>38</v>
      </c>
    </row>
    <row r="3" spans="2:23" s="1" customFormat="1" x14ac:dyDescent="0.3"/>
    <row r="4" spans="2:23" s="1" customFormat="1" ht="27.65" customHeight="1" thickBot="1" x14ac:dyDescent="0.35">
      <c r="E4" s="33" t="s">
        <v>25</v>
      </c>
      <c r="F4" s="6"/>
      <c r="G4" s="422" t="s">
        <v>24</v>
      </c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6"/>
      <c r="W4" s="424" t="s">
        <v>23</v>
      </c>
    </row>
    <row r="5" spans="2:23" s="1" customFormat="1" ht="15" customHeight="1" x14ac:dyDescent="0.3">
      <c r="E5" s="425" t="s">
        <v>32</v>
      </c>
      <c r="F5" s="7"/>
      <c r="G5" s="426" t="s">
        <v>26</v>
      </c>
      <c r="H5" s="427"/>
      <c r="I5" s="427"/>
      <c r="J5" s="427"/>
      <c r="K5" s="427"/>
      <c r="L5" s="428"/>
      <c r="M5" s="31"/>
      <c r="N5" s="31" t="s">
        <v>14</v>
      </c>
      <c r="O5" s="31"/>
      <c r="P5" s="429" t="s">
        <v>30</v>
      </c>
      <c r="Q5" s="430"/>
      <c r="R5" s="430"/>
      <c r="S5" s="430"/>
      <c r="T5" s="430"/>
      <c r="U5" s="431"/>
      <c r="V5" s="7"/>
      <c r="W5" s="424"/>
    </row>
    <row r="6" spans="2:23" s="1" customFormat="1" ht="36.75" customHeight="1" thickBot="1" x14ac:dyDescent="0.35">
      <c r="B6" s="34"/>
      <c r="E6" s="425"/>
      <c r="F6" s="7"/>
      <c r="G6" s="27"/>
      <c r="H6" s="28"/>
      <c r="I6" s="28"/>
      <c r="J6" s="28"/>
      <c r="K6" s="28"/>
      <c r="L6" s="29"/>
      <c r="M6" s="17"/>
      <c r="N6" s="17"/>
      <c r="O6" s="17"/>
      <c r="P6" s="18"/>
      <c r="Q6" s="19"/>
      <c r="R6" s="19"/>
      <c r="S6" s="19"/>
      <c r="T6" s="19"/>
      <c r="U6" s="20"/>
      <c r="V6" s="7"/>
      <c r="W6" s="424"/>
    </row>
    <row r="7" spans="2:23" s="14" customFormat="1" ht="12" customHeight="1" thickBot="1" x14ac:dyDescent="0.3">
      <c r="E7" s="15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5"/>
    </row>
    <row r="8" spans="2:23" s="1" customFormat="1" ht="13.5" customHeight="1" thickTop="1" x14ac:dyDescent="0.3">
      <c r="B8" s="402" t="s">
        <v>26</v>
      </c>
      <c r="C8" s="22" t="s">
        <v>31</v>
      </c>
      <c r="D8" s="2"/>
      <c r="E8" s="404" t="s">
        <v>10</v>
      </c>
      <c r="F8" s="8"/>
      <c r="G8" s="407" t="s">
        <v>49</v>
      </c>
      <c r="H8" s="408"/>
      <c r="I8" s="408"/>
      <c r="J8" s="408"/>
      <c r="K8" s="408"/>
      <c r="L8" s="409"/>
      <c r="M8" s="30"/>
      <c r="N8" s="416" t="s">
        <v>14</v>
      </c>
      <c r="O8" s="30"/>
      <c r="P8" s="407" t="s">
        <v>13</v>
      </c>
      <c r="Q8" s="408"/>
      <c r="R8" s="408"/>
      <c r="S8" s="408"/>
      <c r="T8" s="408"/>
      <c r="U8" s="409"/>
      <c r="V8" s="8"/>
      <c r="W8" s="417" t="s">
        <v>12</v>
      </c>
    </row>
    <row r="9" spans="2:23" s="1" customFormat="1" ht="12.75" customHeight="1" x14ac:dyDescent="0.3">
      <c r="B9" s="403"/>
      <c r="C9" s="23" t="s">
        <v>20</v>
      </c>
      <c r="D9" s="2"/>
      <c r="E9" s="405"/>
      <c r="F9" s="8"/>
      <c r="G9" s="410"/>
      <c r="H9" s="411"/>
      <c r="I9" s="411"/>
      <c r="J9" s="411"/>
      <c r="K9" s="411"/>
      <c r="L9" s="412"/>
      <c r="M9" s="30"/>
      <c r="N9" s="416"/>
      <c r="O9" s="30"/>
      <c r="P9" s="410"/>
      <c r="Q9" s="411"/>
      <c r="R9" s="411"/>
      <c r="S9" s="411"/>
      <c r="T9" s="411"/>
      <c r="U9" s="412"/>
      <c r="V9" s="8"/>
      <c r="W9" s="418"/>
    </row>
    <row r="10" spans="2:23" s="1" customFormat="1" ht="12.75" customHeight="1" x14ac:dyDescent="0.3">
      <c r="B10" s="403"/>
      <c r="C10" s="24" t="s">
        <v>33</v>
      </c>
      <c r="E10" s="405"/>
      <c r="F10" s="8"/>
      <c r="G10" s="410"/>
      <c r="H10" s="411"/>
      <c r="I10" s="411"/>
      <c r="J10" s="411"/>
      <c r="K10" s="411"/>
      <c r="L10" s="412"/>
      <c r="M10" s="30"/>
      <c r="N10" s="416"/>
      <c r="O10" s="30"/>
      <c r="P10" s="410"/>
      <c r="Q10" s="411"/>
      <c r="R10" s="411"/>
      <c r="S10" s="411"/>
      <c r="T10" s="411"/>
      <c r="U10" s="412"/>
      <c r="V10" s="8"/>
      <c r="W10" s="418"/>
    </row>
    <row r="11" spans="2:23" s="1" customFormat="1" ht="12.75" customHeight="1" x14ac:dyDescent="0.3">
      <c r="B11" s="420" t="s">
        <v>27</v>
      </c>
      <c r="C11" s="22" t="s">
        <v>31</v>
      </c>
      <c r="E11" s="405"/>
      <c r="F11" s="8"/>
      <c r="G11" s="410"/>
      <c r="H11" s="411"/>
      <c r="I11" s="411"/>
      <c r="J11" s="411"/>
      <c r="K11" s="411"/>
      <c r="L11" s="412"/>
      <c r="M11" s="30"/>
      <c r="N11" s="416"/>
      <c r="O11" s="30"/>
      <c r="P11" s="410"/>
      <c r="Q11" s="411"/>
      <c r="R11" s="411"/>
      <c r="S11" s="411"/>
      <c r="T11" s="411"/>
      <c r="U11" s="412"/>
      <c r="V11" s="8"/>
      <c r="W11" s="418"/>
    </row>
    <row r="12" spans="2:23" s="1" customFormat="1" ht="12.75" customHeight="1" x14ac:dyDescent="0.3">
      <c r="B12" s="403"/>
      <c r="C12" s="23" t="s">
        <v>20</v>
      </c>
      <c r="D12" s="2"/>
      <c r="E12" s="405"/>
      <c r="F12" s="8"/>
      <c r="G12" s="410"/>
      <c r="H12" s="411"/>
      <c r="I12" s="411"/>
      <c r="J12" s="411"/>
      <c r="K12" s="411"/>
      <c r="L12" s="412"/>
      <c r="M12" s="30"/>
      <c r="N12" s="416"/>
      <c r="O12" s="30"/>
      <c r="P12" s="410"/>
      <c r="Q12" s="411"/>
      <c r="R12" s="411"/>
      <c r="S12" s="411"/>
      <c r="T12" s="411"/>
      <c r="U12" s="412"/>
      <c r="V12" s="8"/>
      <c r="W12" s="418"/>
    </row>
    <row r="13" spans="2:23" s="1" customFormat="1" ht="12.75" customHeight="1" x14ac:dyDescent="0.3">
      <c r="B13" s="403"/>
      <c r="C13" s="24" t="s">
        <v>33</v>
      </c>
      <c r="E13" s="405"/>
      <c r="F13" s="8"/>
      <c r="G13" s="410"/>
      <c r="H13" s="411"/>
      <c r="I13" s="411"/>
      <c r="J13" s="411"/>
      <c r="K13" s="411"/>
      <c r="L13" s="412"/>
      <c r="M13" s="30"/>
      <c r="N13" s="416"/>
      <c r="O13" s="30"/>
      <c r="P13" s="410"/>
      <c r="Q13" s="411"/>
      <c r="R13" s="411"/>
      <c r="S13" s="411"/>
      <c r="T13" s="411"/>
      <c r="U13" s="412"/>
      <c r="V13" s="8"/>
      <c r="W13" s="418"/>
    </row>
    <row r="14" spans="2:23" s="1" customFormat="1" ht="14.5" x14ac:dyDescent="0.3">
      <c r="B14" s="21" t="s">
        <v>20</v>
      </c>
      <c r="C14" s="22"/>
      <c r="E14" s="405"/>
      <c r="F14" s="8"/>
      <c r="G14" s="410"/>
      <c r="H14" s="411"/>
      <c r="I14" s="411"/>
      <c r="J14" s="411"/>
      <c r="K14" s="411"/>
      <c r="L14" s="412"/>
      <c r="M14" s="30"/>
      <c r="N14" s="416"/>
      <c r="O14" s="30"/>
      <c r="P14" s="410"/>
      <c r="Q14" s="411"/>
      <c r="R14" s="411"/>
      <c r="S14" s="411"/>
      <c r="T14" s="411"/>
      <c r="U14" s="412"/>
      <c r="V14" s="8"/>
      <c r="W14" s="418"/>
    </row>
    <row r="15" spans="2:23" s="1" customFormat="1" ht="14.5" x14ac:dyDescent="0.3">
      <c r="B15" s="21"/>
      <c r="C15" s="24"/>
      <c r="E15" s="405"/>
      <c r="F15" s="8"/>
      <c r="G15" s="410"/>
      <c r="H15" s="411"/>
      <c r="I15" s="411"/>
      <c r="J15" s="411"/>
      <c r="K15" s="411"/>
      <c r="L15" s="412"/>
      <c r="M15" s="30"/>
      <c r="N15" s="416"/>
      <c r="O15" s="30"/>
      <c r="P15" s="410"/>
      <c r="Q15" s="411"/>
      <c r="R15" s="411"/>
      <c r="S15" s="411"/>
      <c r="T15" s="411"/>
      <c r="U15" s="412"/>
      <c r="V15" s="8"/>
      <c r="W15" s="418"/>
    </row>
    <row r="16" spans="2:23" s="1" customFormat="1" ht="12.75" customHeight="1" x14ac:dyDescent="0.3">
      <c r="B16" s="420" t="s">
        <v>28</v>
      </c>
      <c r="C16" s="22" t="s">
        <v>31</v>
      </c>
      <c r="E16" s="405"/>
      <c r="F16" s="8"/>
      <c r="G16" s="410"/>
      <c r="H16" s="411"/>
      <c r="I16" s="411"/>
      <c r="J16" s="411"/>
      <c r="K16" s="411"/>
      <c r="L16" s="412"/>
      <c r="M16" s="30"/>
      <c r="N16" s="416"/>
      <c r="O16" s="30"/>
      <c r="P16" s="410"/>
      <c r="Q16" s="411"/>
      <c r="R16" s="411"/>
      <c r="S16" s="411"/>
      <c r="T16" s="411"/>
      <c r="U16" s="412"/>
      <c r="V16" s="8"/>
      <c r="W16" s="418"/>
    </row>
    <row r="17" spans="2:24" s="1" customFormat="1" ht="12.75" customHeight="1" x14ac:dyDescent="0.3">
      <c r="B17" s="403"/>
      <c r="C17" s="23" t="s">
        <v>20</v>
      </c>
      <c r="E17" s="405"/>
      <c r="F17" s="8"/>
      <c r="G17" s="410"/>
      <c r="H17" s="411"/>
      <c r="I17" s="411"/>
      <c r="J17" s="411"/>
      <c r="K17" s="411"/>
      <c r="L17" s="412"/>
      <c r="M17" s="30"/>
      <c r="N17" s="416"/>
      <c r="O17" s="30"/>
      <c r="P17" s="410"/>
      <c r="Q17" s="411"/>
      <c r="R17" s="411"/>
      <c r="S17" s="411"/>
      <c r="T17" s="411"/>
      <c r="U17" s="412"/>
      <c r="V17" s="8"/>
      <c r="W17" s="418"/>
    </row>
    <row r="18" spans="2:24" s="1" customFormat="1" ht="13.5" customHeight="1" thickBot="1" x14ac:dyDescent="0.35">
      <c r="B18" s="403"/>
      <c r="C18" s="24" t="s">
        <v>33</v>
      </c>
      <c r="D18" s="2"/>
      <c r="E18" s="406"/>
      <c r="F18" s="8"/>
      <c r="G18" s="413"/>
      <c r="H18" s="414"/>
      <c r="I18" s="414"/>
      <c r="J18" s="414"/>
      <c r="K18" s="414"/>
      <c r="L18" s="415"/>
      <c r="M18" s="30"/>
      <c r="N18" s="416"/>
      <c r="O18" s="30"/>
      <c r="P18" s="413"/>
      <c r="Q18" s="414"/>
      <c r="R18" s="414"/>
      <c r="S18" s="414"/>
      <c r="T18" s="414"/>
      <c r="U18" s="415"/>
      <c r="V18" s="8"/>
      <c r="W18" s="419"/>
    </row>
    <row r="19" spans="2:24" s="1" customFormat="1" ht="8.15" customHeight="1" thickBot="1" x14ac:dyDescent="0.35">
      <c r="C19" s="2"/>
      <c r="D19" s="2"/>
    </row>
    <row r="20" spans="2:24" s="1" customFormat="1" ht="13.5" customHeight="1" x14ac:dyDescent="0.3">
      <c r="B20" s="384" t="s">
        <v>37</v>
      </c>
      <c r="C20" s="25" t="s">
        <v>34</v>
      </c>
      <c r="D20" s="2"/>
      <c r="E20" s="387" t="s">
        <v>16</v>
      </c>
      <c r="G20" s="390" t="s">
        <v>18</v>
      </c>
      <c r="H20" s="391"/>
      <c r="I20" s="391"/>
      <c r="J20" s="391"/>
      <c r="K20" s="391"/>
      <c r="L20" s="392"/>
      <c r="M20" s="32"/>
      <c r="N20" s="399" t="s">
        <v>14</v>
      </c>
      <c r="O20" s="32"/>
      <c r="P20" s="390" t="s">
        <v>18</v>
      </c>
      <c r="Q20" s="391"/>
      <c r="R20" s="391"/>
      <c r="S20" s="391"/>
      <c r="T20" s="391"/>
      <c r="U20" s="392"/>
    </row>
    <row r="21" spans="2:24" s="1" customFormat="1" ht="12.75" customHeight="1" x14ac:dyDescent="0.3">
      <c r="B21" s="385"/>
      <c r="C21" s="25" t="s">
        <v>35</v>
      </c>
      <c r="D21" s="2"/>
      <c r="E21" s="388"/>
      <c r="G21" s="393"/>
      <c r="H21" s="394"/>
      <c r="I21" s="394"/>
      <c r="J21" s="394"/>
      <c r="K21" s="394"/>
      <c r="L21" s="395"/>
      <c r="M21" s="32"/>
      <c r="N21" s="399"/>
      <c r="O21" s="32"/>
      <c r="P21" s="393"/>
      <c r="Q21" s="394"/>
      <c r="R21" s="394"/>
      <c r="S21" s="394"/>
      <c r="T21" s="394"/>
      <c r="U21" s="395"/>
    </row>
    <row r="22" spans="2:24" s="1" customFormat="1" ht="12.75" customHeight="1" x14ac:dyDescent="0.3">
      <c r="B22" s="385"/>
      <c r="C22" s="25" t="s">
        <v>14</v>
      </c>
      <c r="D22" s="2"/>
      <c r="E22" s="388"/>
      <c r="G22" s="393"/>
      <c r="H22" s="394"/>
      <c r="I22" s="394"/>
      <c r="J22" s="394"/>
      <c r="K22" s="394"/>
      <c r="L22" s="395"/>
      <c r="M22" s="32"/>
      <c r="N22" s="399"/>
      <c r="O22" s="32"/>
      <c r="P22" s="393"/>
      <c r="Q22" s="394"/>
      <c r="R22" s="394"/>
      <c r="S22" s="394"/>
      <c r="T22" s="394"/>
      <c r="U22" s="395"/>
    </row>
    <row r="23" spans="2:24" s="1" customFormat="1" ht="13.5" customHeight="1" thickBot="1" x14ac:dyDescent="0.35">
      <c r="B23" s="386"/>
      <c r="C23" s="26" t="s">
        <v>36</v>
      </c>
      <c r="D23" s="2"/>
      <c r="E23" s="389"/>
      <c r="G23" s="396"/>
      <c r="H23" s="397"/>
      <c r="I23" s="397"/>
      <c r="J23" s="397"/>
      <c r="K23" s="397"/>
      <c r="L23" s="398"/>
      <c r="M23" s="32"/>
      <c r="N23" s="399"/>
      <c r="O23" s="32"/>
      <c r="P23" s="396"/>
      <c r="Q23" s="397"/>
      <c r="R23" s="397"/>
      <c r="S23" s="397"/>
      <c r="T23" s="397"/>
      <c r="U23" s="398"/>
    </row>
    <row r="24" spans="2:24" s="1" customFormat="1" ht="13.5" customHeight="1" thickBot="1" x14ac:dyDescent="0.4">
      <c r="B24" s="400" t="s">
        <v>29</v>
      </c>
      <c r="C24" s="401"/>
      <c r="D24" s="9"/>
      <c r="E24" s="4" t="s">
        <v>11</v>
      </c>
      <c r="F24" s="8"/>
      <c r="G24" s="2"/>
      <c r="V24" s="8"/>
    </row>
    <row r="25" spans="2:24" s="1" customFormat="1" ht="8.15" customHeight="1" thickBot="1" x14ac:dyDescent="0.35">
      <c r="C25" s="9"/>
      <c r="D25" s="9"/>
    </row>
    <row r="26" spans="2:24" s="1" customFormat="1" ht="54.75" customHeight="1" thickTop="1" thickBot="1" x14ac:dyDescent="0.4">
      <c r="B26" s="382" t="s">
        <v>23</v>
      </c>
      <c r="C26" s="383"/>
      <c r="D26" s="10"/>
      <c r="E26" s="5" t="s">
        <v>12</v>
      </c>
      <c r="F26" s="8"/>
      <c r="V26" s="8"/>
    </row>
    <row r="27" spans="2:24" s="1" customFormat="1" ht="13.5" thickTop="1" x14ac:dyDescent="0.3">
      <c r="X27" s="13">
        <f>71*45</f>
        <v>3195</v>
      </c>
    </row>
    <row r="28" spans="2:24" s="1" customFormat="1" x14ac:dyDescent="0.3">
      <c r="K28" s="1" t="str">
        <f xml:space="preserve"> "71 economies x 45 industries = "&amp;X27 &amp;" sectors"</f>
        <v>71 economies x 45 industries = 3195 sectors</v>
      </c>
    </row>
    <row r="29" spans="2:24" s="1" customFormat="1" x14ac:dyDescent="0.3"/>
    <row r="30" spans="2:24" s="1" customFormat="1" ht="14.5" x14ac:dyDescent="0.35">
      <c r="C30" s="12"/>
      <c r="D30" s="3"/>
      <c r="E30" s="12" t="s">
        <v>9</v>
      </c>
      <c r="K30" s="12" t="s">
        <v>8</v>
      </c>
    </row>
    <row r="31" spans="2:24" s="1" customFormat="1" x14ac:dyDescent="0.3">
      <c r="C31" s="11" t="s">
        <v>4</v>
      </c>
      <c r="D31" s="11"/>
      <c r="E31" s="11" t="s">
        <v>39</v>
      </c>
      <c r="F31" s="11"/>
      <c r="G31" s="11"/>
      <c r="H31" s="11"/>
      <c r="K31" s="1" t="str">
        <f>"("&amp;X27&amp;" origin sectors x "&amp;X27&amp;" destination sectors)"</f>
        <v>(3195 origin sectors x 3195 destination sectors)</v>
      </c>
    </row>
    <row r="32" spans="2:24" s="1" customFormat="1" x14ac:dyDescent="0.3">
      <c r="C32" s="11" t="s">
        <v>17</v>
      </c>
      <c r="D32" s="11"/>
      <c r="E32" s="11" t="s">
        <v>37</v>
      </c>
      <c r="F32" s="11"/>
      <c r="G32" s="11"/>
      <c r="H32" s="11"/>
      <c r="K32" s="1" t="str">
        <f>"(67 economies x "&amp;X27&amp;" industries)"</f>
        <v>(67 economies x 3195 industries)</v>
      </c>
    </row>
    <row r="33" spans="3:11" s="1" customFormat="1" x14ac:dyDescent="0.3">
      <c r="C33" s="11" t="s">
        <v>5</v>
      </c>
      <c r="D33" s="11"/>
      <c r="E33" s="11" t="s">
        <v>40</v>
      </c>
      <c r="F33" s="11"/>
      <c r="G33" s="11"/>
      <c r="H33" s="11"/>
      <c r="K33" s="1" t="str">
        <f>"(1 row x "&amp;X27&amp;" industries)"</f>
        <v>(1 row x 3195 industries)</v>
      </c>
    </row>
    <row r="34" spans="3:11" s="1" customFormat="1" x14ac:dyDescent="0.3">
      <c r="C34" s="11" t="s">
        <v>6</v>
      </c>
      <c r="D34" s="11"/>
      <c r="E34" s="11" t="s">
        <v>41</v>
      </c>
      <c r="F34" s="11"/>
      <c r="G34" s="11"/>
      <c r="H34" s="11"/>
      <c r="K34" s="1" t="str">
        <f>"(1 row x "&amp;X27&amp;" industries)"</f>
        <v>(1 row x 3195 industries)</v>
      </c>
    </row>
    <row r="35" spans="3:11" s="1" customFormat="1" x14ac:dyDescent="0.3">
      <c r="C35" s="11" t="s">
        <v>15</v>
      </c>
      <c r="D35" s="11"/>
      <c r="E35" s="11" t="s">
        <v>42</v>
      </c>
      <c r="F35" s="11"/>
      <c r="G35" s="11"/>
      <c r="H35" s="11"/>
      <c r="K35" s="1" t="str">
        <f>"("&amp;X27&amp;" origin sectors x (67 economies x 6 demand items) )"</f>
        <v>(3195 origin sectors x (67 economies x 6 demand items) )</v>
      </c>
    </row>
    <row r="36" spans="3:11" s="1" customFormat="1" x14ac:dyDescent="0.3">
      <c r="F36" s="11"/>
      <c r="G36" s="11"/>
      <c r="H36" s="11"/>
    </row>
    <row r="37" spans="3:11" s="1" customFormat="1" x14ac:dyDescent="0.3"/>
    <row r="38" spans="3:11" s="1" customFormat="1" x14ac:dyDescent="0.3"/>
    <row r="39" spans="3:11" s="1" customFormat="1" ht="14.5" x14ac:dyDescent="0.35">
      <c r="E39" s="12" t="s">
        <v>21</v>
      </c>
      <c r="G39" s="11"/>
      <c r="H39" s="11"/>
    </row>
    <row r="40" spans="3:11" s="1" customFormat="1" x14ac:dyDescent="0.3">
      <c r="E40" s="11" t="s">
        <v>7</v>
      </c>
      <c r="F40" s="11" t="s">
        <v>43</v>
      </c>
    </row>
    <row r="41" spans="3:11" s="1" customFormat="1" x14ac:dyDescent="0.3">
      <c r="E41" s="11" t="s">
        <v>0</v>
      </c>
      <c r="F41" s="11" t="s">
        <v>44</v>
      </c>
    </row>
    <row r="42" spans="3:11" s="1" customFormat="1" x14ac:dyDescent="0.3">
      <c r="E42" s="1" t="s">
        <v>1</v>
      </c>
      <c r="F42" s="1" t="s">
        <v>45</v>
      </c>
    </row>
    <row r="43" spans="3:11" s="1" customFormat="1" x14ac:dyDescent="0.3">
      <c r="E43" s="1" t="s">
        <v>2</v>
      </c>
      <c r="F43" s="1" t="s">
        <v>46</v>
      </c>
    </row>
    <row r="44" spans="3:11" s="1" customFormat="1" x14ac:dyDescent="0.3">
      <c r="E44" s="1" t="s">
        <v>3</v>
      </c>
      <c r="F44" s="1" t="s">
        <v>47</v>
      </c>
    </row>
    <row r="45" spans="3:11" s="1" customFormat="1" x14ac:dyDescent="0.3">
      <c r="E45" s="1" t="s">
        <v>22</v>
      </c>
      <c r="F45" s="1" t="s">
        <v>48</v>
      </c>
    </row>
  </sheetData>
  <mergeCells count="21">
    <mergeCell ref="W8:W18"/>
    <mergeCell ref="B11:B13"/>
    <mergeCell ref="B16:B18"/>
    <mergeCell ref="C1:E1"/>
    <mergeCell ref="G4:U4"/>
    <mergeCell ref="W4:W6"/>
    <mergeCell ref="E5:E6"/>
    <mergeCell ref="G5:L5"/>
    <mergeCell ref="P5:U5"/>
    <mergeCell ref="P20:U23"/>
    <mergeCell ref="B24:C24"/>
    <mergeCell ref="B8:B10"/>
    <mergeCell ref="E8:E18"/>
    <mergeCell ref="G8:L18"/>
    <mergeCell ref="N8:N18"/>
    <mergeCell ref="P8:U18"/>
    <mergeCell ref="B26:C26"/>
    <mergeCell ref="B20:B23"/>
    <mergeCell ref="E20:E23"/>
    <mergeCell ref="G20:L23"/>
    <mergeCell ref="N20:N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6"/>
  <sheetViews>
    <sheetView zoomScale="140" zoomScaleNormal="140" zoomScaleSheetLayoutView="95" workbookViewId="0">
      <selection activeCell="O13" sqref="O13"/>
    </sheetView>
  </sheetViews>
  <sheetFormatPr defaultColWidth="11.453125" defaultRowHeight="13.5" customHeight="1" x14ac:dyDescent="0.25"/>
  <cols>
    <col min="1" max="1" width="2.6328125" style="65" customWidth="1"/>
    <col min="2" max="2" width="15.54296875" style="65" customWidth="1"/>
    <col min="3" max="3" width="3.453125" style="65" customWidth="1"/>
    <col min="4" max="4" width="3.54296875" style="65" customWidth="1"/>
    <col min="5" max="5" width="1.453125" style="65" customWidth="1"/>
    <col min="6" max="6" width="3.90625" style="65" customWidth="1"/>
    <col min="7" max="9" width="3.54296875" style="65" customWidth="1"/>
    <col min="10" max="10" width="1.453125" style="65" customWidth="1"/>
    <col min="11" max="14" width="3.54296875" style="65" customWidth="1"/>
    <col min="15" max="15" width="1.453125" style="65" customWidth="1"/>
    <col min="16" max="16" width="11.453125" style="65" customWidth="1"/>
    <col min="17" max="30" width="11.453125" style="65"/>
    <col min="31" max="16384" width="11.453125" style="66"/>
  </cols>
  <sheetData>
    <row r="1" spans="1:21" ht="13.5" customHeight="1" x14ac:dyDescent="0.25">
      <c r="F1" s="76"/>
      <c r="G1" s="76"/>
      <c r="H1" s="76"/>
      <c r="I1" s="76"/>
      <c r="K1" s="76"/>
      <c r="L1" s="76"/>
      <c r="M1" s="76"/>
      <c r="N1" s="76"/>
    </row>
    <row r="2" spans="1:21" ht="30" customHeight="1" x14ac:dyDescent="0.25">
      <c r="E2" s="74"/>
      <c r="F2" s="435" t="s">
        <v>59</v>
      </c>
      <c r="G2" s="435"/>
      <c r="H2" s="435"/>
      <c r="I2" s="435"/>
      <c r="J2" s="79"/>
      <c r="K2" s="422" t="s">
        <v>54</v>
      </c>
      <c r="L2" s="422"/>
      <c r="M2" s="422"/>
      <c r="N2" s="422"/>
      <c r="O2" s="75"/>
      <c r="P2" s="433" t="s">
        <v>58</v>
      </c>
    </row>
    <row r="3" spans="1:21" ht="15" customHeight="1" x14ac:dyDescent="0.25">
      <c r="B3" s="67"/>
      <c r="C3" s="67"/>
      <c r="D3" s="68"/>
      <c r="E3" s="74"/>
      <c r="F3" s="436" t="s">
        <v>51</v>
      </c>
      <c r="G3" s="436"/>
      <c r="H3" s="436"/>
      <c r="I3" s="436"/>
      <c r="J3" s="79"/>
      <c r="K3" s="432" t="s">
        <v>66</v>
      </c>
      <c r="L3" s="432" t="s">
        <v>53</v>
      </c>
      <c r="M3" s="432" t="s">
        <v>67</v>
      </c>
      <c r="N3" s="432" t="s">
        <v>68</v>
      </c>
      <c r="O3" s="75"/>
      <c r="P3" s="433"/>
    </row>
    <row r="4" spans="1:21" ht="15" customHeight="1" x14ac:dyDescent="0.25">
      <c r="B4" s="68"/>
      <c r="C4" s="68"/>
      <c r="D4" s="68"/>
      <c r="E4" s="74"/>
      <c r="F4" s="43">
        <v>1</v>
      </c>
      <c r="G4" s="43">
        <v>2</v>
      </c>
      <c r="H4" s="43" t="s">
        <v>20</v>
      </c>
      <c r="I4" s="43" t="s">
        <v>50</v>
      </c>
      <c r="J4" s="79"/>
      <c r="K4" s="432"/>
      <c r="L4" s="432"/>
      <c r="M4" s="432"/>
      <c r="N4" s="432"/>
      <c r="O4" s="75"/>
      <c r="P4" s="433"/>
    </row>
    <row r="5" spans="1:21" ht="7.5" customHeight="1" thickBot="1" x14ac:dyDescent="0.3">
      <c r="B5" s="76"/>
      <c r="C5" s="76"/>
      <c r="D5" s="76"/>
      <c r="F5" s="78"/>
      <c r="G5" s="78"/>
      <c r="H5" s="78"/>
      <c r="I5" s="78"/>
      <c r="K5" s="78"/>
      <c r="L5" s="78"/>
      <c r="M5" s="78"/>
      <c r="N5" s="78"/>
      <c r="P5" s="76"/>
    </row>
    <row r="6" spans="1:21" ht="18.75" customHeight="1" x14ac:dyDescent="0.25">
      <c r="A6" s="74"/>
      <c r="B6" s="435" t="s">
        <v>60</v>
      </c>
      <c r="C6" s="434" t="s">
        <v>52</v>
      </c>
      <c r="D6" s="44">
        <v>1</v>
      </c>
      <c r="E6" s="79"/>
      <c r="F6" s="35"/>
      <c r="G6" s="36"/>
      <c r="H6" s="36"/>
      <c r="I6" s="37"/>
      <c r="J6" s="79"/>
      <c r="K6" s="45"/>
      <c r="L6" s="46"/>
      <c r="M6" s="46"/>
      <c r="N6" s="47"/>
      <c r="O6" s="79"/>
      <c r="P6" s="53"/>
      <c r="Q6" s="75"/>
    </row>
    <row r="7" spans="1:21" ht="18.75" customHeight="1" x14ac:dyDescent="0.25">
      <c r="A7" s="74"/>
      <c r="B7" s="435"/>
      <c r="C7" s="434"/>
      <c r="D7" s="44">
        <v>2</v>
      </c>
      <c r="E7" s="79"/>
      <c r="F7" s="38"/>
      <c r="G7" s="440" t="s">
        <v>4</v>
      </c>
      <c r="H7" s="441"/>
      <c r="I7" s="39"/>
      <c r="J7" s="79"/>
      <c r="K7" s="48"/>
      <c r="L7" s="437" t="s">
        <v>61</v>
      </c>
      <c r="M7" s="422"/>
      <c r="N7" s="49"/>
      <c r="O7" s="79"/>
      <c r="P7" s="438" t="s">
        <v>57</v>
      </c>
      <c r="Q7" s="75"/>
      <c r="S7" s="81"/>
      <c r="T7" s="81"/>
      <c r="U7" s="81"/>
    </row>
    <row r="8" spans="1:21" ht="18.75" customHeight="1" x14ac:dyDescent="0.25">
      <c r="A8" s="74"/>
      <c r="B8" s="435"/>
      <c r="C8" s="434"/>
      <c r="D8" s="44" t="s">
        <v>20</v>
      </c>
      <c r="E8" s="79"/>
      <c r="F8" s="38"/>
      <c r="G8" s="441"/>
      <c r="H8" s="441"/>
      <c r="I8" s="39"/>
      <c r="J8" s="79"/>
      <c r="K8" s="48"/>
      <c r="L8" s="422"/>
      <c r="M8" s="422"/>
      <c r="N8" s="49"/>
      <c r="O8" s="79"/>
      <c r="P8" s="439"/>
      <c r="Q8" s="75"/>
      <c r="S8" s="81"/>
    </row>
    <row r="9" spans="1:21" ht="18.75" customHeight="1" thickBot="1" x14ac:dyDescent="0.3">
      <c r="A9" s="74"/>
      <c r="B9" s="435"/>
      <c r="C9" s="434"/>
      <c r="D9" s="44" t="s">
        <v>50</v>
      </c>
      <c r="E9" s="79"/>
      <c r="F9" s="40"/>
      <c r="G9" s="41"/>
      <c r="H9" s="41"/>
      <c r="I9" s="42"/>
      <c r="J9" s="79"/>
      <c r="K9" s="50"/>
      <c r="L9" s="51"/>
      <c r="M9" s="51"/>
      <c r="N9" s="52"/>
      <c r="O9" s="79"/>
      <c r="P9" s="54"/>
      <c r="Q9" s="75"/>
    </row>
    <row r="10" spans="1:21" ht="7.5" customHeight="1" thickBot="1" x14ac:dyDescent="0.3">
      <c r="B10" s="80"/>
      <c r="C10" s="80"/>
      <c r="D10" s="77"/>
      <c r="F10" s="78"/>
      <c r="G10" s="78"/>
      <c r="H10" s="78"/>
      <c r="I10" s="78"/>
      <c r="K10" s="77"/>
      <c r="L10" s="77"/>
      <c r="M10" s="77"/>
      <c r="N10" s="77"/>
      <c r="P10" s="77"/>
    </row>
    <row r="11" spans="1:21" ht="15" customHeight="1" thickBot="1" x14ac:dyDescent="0.3">
      <c r="B11" s="70" t="s">
        <v>56</v>
      </c>
      <c r="C11" s="69"/>
      <c r="E11" s="74"/>
      <c r="F11" s="56"/>
      <c r="G11" s="447" t="s">
        <v>55</v>
      </c>
      <c r="H11" s="448"/>
      <c r="I11" s="57"/>
      <c r="J11" s="75"/>
    </row>
    <row r="12" spans="1:21" ht="7.5" customHeight="1" thickBot="1" x14ac:dyDescent="0.3">
      <c r="B12" s="66"/>
      <c r="C12" s="66"/>
      <c r="F12" s="78"/>
      <c r="G12" s="78"/>
      <c r="H12" s="78"/>
      <c r="I12" s="78"/>
    </row>
    <row r="13" spans="1:21" ht="15" customHeight="1" thickBot="1" x14ac:dyDescent="0.3">
      <c r="B13" s="71" t="s">
        <v>29</v>
      </c>
      <c r="C13" s="69"/>
      <c r="E13" s="74"/>
      <c r="F13" s="58"/>
      <c r="G13" s="445" t="s">
        <v>5</v>
      </c>
      <c r="H13" s="446"/>
      <c r="I13" s="59"/>
      <c r="J13" s="75"/>
    </row>
    <row r="14" spans="1:21" ht="6.75" customHeight="1" thickBot="1" x14ac:dyDescent="0.3">
      <c r="B14" s="69"/>
      <c r="C14" s="69"/>
      <c r="F14" s="78"/>
      <c r="G14" s="78"/>
      <c r="H14" s="78"/>
      <c r="I14" s="78"/>
    </row>
    <row r="15" spans="1:21" ht="15" customHeight="1" x14ac:dyDescent="0.25">
      <c r="B15" s="433" t="s">
        <v>58</v>
      </c>
      <c r="C15" s="69"/>
      <c r="E15" s="74"/>
      <c r="F15" s="60"/>
      <c r="G15" s="442" t="s">
        <v>57</v>
      </c>
      <c r="H15" s="443"/>
      <c r="I15" s="61"/>
      <c r="J15" s="75"/>
    </row>
    <row r="16" spans="1:21" ht="15" customHeight="1" thickBot="1" x14ac:dyDescent="0.3">
      <c r="B16" s="433"/>
      <c r="C16" s="69"/>
      <c r="E16" s="74"/>
      <c r="F16" s="62"/>
      <c r="G16" s="444"/>
      <c r="H16" s="444"/>
      <c r="I16" s="63"/>
      <c r="J16" s="75"/>
    </row>
    <row r="17" spans="2:9" ht="13.5" customHeight="1" x14ac:dyDescent="0.25">
      <c r="B17" s="69"/>
      <c r="C17" s="69"/>
      <c r="F17" s="77"/>
      <c r="G17" s="77"/>
      <c r="H17" s="77"/>
      <c r="I17" s="77"/>
    </row>
    <row r="18" spans="2:9" ht="13.5" customHeight="1" x14ac:dyDescent="0.25">
      <c r="B18" s="69"/>
      <c r="C18" s="69"/>
    </row>
    <row r="19" spans="2:9" ht="13.5" customHeight="1" x14ac:dyDescent="0.25">
      <c r="B19" s="69"/>
      <c r="C19" s="69"/>
    </row>
    <row r="21" spans="2:9" ht="13.5" customHeight="1" x14ac:dyDescent="0.25">
      <c r="B21" s="69"/>
      <c r="C21" s="69"/>
      <c r="D21" s="69"/>
    </row>
    <row r="22" spans="2:9" ht="13.5" customHeight="1" x14ac:dyDescent="0.25">
      <c r="B22" s="69"/>
      <c r="C22" s="69"/>
      <c r="D22" s="69"/>
    </row>
    <row r="23" spans="2:9" ht="13.5" customHeight="1" x14ac:dyDescent="0.25">
      <c r="B23" s="69"/>
      <c r="C23" s="69"/>
      <c r="D23" s="69"/>
    </row>
    <row r="24" spans="2:9" ht="13.5" customHeight="1" x14ac:dyDescent="0.25">
      <c r="B24" s="69"/>
      <c r="C24" s="69"/>
      <c r="D24" s="69"/>
    </row>
    <row r="26" spans="2:9" ht="13.5" customHeight="1" x14ac:dyDescent="0.25">
      <c r="D26" s="69"/>
    </row>
    <row r="31" spans="2:9" ht="13.5" customHeight="1" x14ac:dyDescent="0.25">
      <c r="D31" s="72"/>
    </row>
    <row r="32" spans="2:9" ht="13.5" customHeight="1" x14ac:dyDescent="0.25">
      <c r="D32" s="73"/>
    </row>
    <row r="33" spans="4:4" ht="13.5" customHeight="1" x14ac:dyDescent="0.25">
      <c r="D33" s="73"/>
    </row>
    <row r="34" spans="4:4" ht="13.5" customHeight="1" x14ac:dyDescent="0.25">
      <c r="D34" s="73"/>
    </row>
    <row r="35" spans="4:4" ht="13.5" customHeight="1" x14ac:dyDescent="0.25">
      <c r="D35" s="73"/>
    </row>
    <row r="36" spans="4:4" ht="13.5" customHeight="1" x14ac:dyDescent="0.25">
      <c r="D36" s="73"/>
    </row>
  </sheetData>
  <mergeCells count="17">
    <mergeCell ref="B6:B9"/>
    <mergeCell ref="B15:B16"/>
    <mergeCell ref="G7:H8"/>
    <mergeCell ref="G15:H16"/>
    <mergeCell ref="G13:H13"/>
    <mergeCell ref="G11:H11"/>
    <mergeCell ref="N3:N4"/>
    <mergeCell ref="P2:P4"/>
    <mergeCell ref="C6:C9"/>
    <mergeCell ref="F2:I2"/>
    <mergeCell ref="F3:I3"/>
    <mergeCell ref="K3:K4"/>
    <mergeCell ref="K2:N2"/>
    <mergeCell ref="L3:L4"/>
    <mergeCell ref="M3:M4"/>
    <mergeCell ref="L7:M8"/>
    <mergeCell ref="P7:P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5"/>
  <sheetViews>
    <sheetView zoomScale="140" zoomScaleNormal="140" workbookViewId="0">
      <selection activeCell="B6" sqref="B6:B9"/>
    </sheetView>
  </sheetViews>
  <sheetFormatPr defaultColWidth="11.453125" defaultRowHeight="14.5" x14ac:dyDescent="0.25"/>
  <cols>
    <col min="1" max="1" width="2.6328125" style="65" customWidth="1"/>
    <col min="2" max="2" width="15.54296875" style="65" customWidth="1"/>
    <col min="3" max="3" width="3.453125" style="65" customWidth="1"/>
    <col min="4" max="4" width="3.54296875" style="65" customWidth="1"/>
    <col min="5" max="5" width="1.453125" style="65" customWidth="1"/>
    <col min="6" max="6" width="3.90625" style="65" customWidth="1"/>
    <col min="7" max="9" width="3.54296875" style="65" customWidth="1"/>
    <col min="10" max="10" width="1.453125" style="65" customWidth="1"/>
    <col min="11" max="14" width="3.54296875" style="65" customWidth="1"/>
    <col min="15" max="15" width="1.453125" style="65" customWidth="1"/>
    <col min="16" max="16" width="10.1796875" style="65" customWidth="1"/>
    <col min="17" max="30" width="11.453125" style="65"/>
    <col min="31" max="16384" width="11.453125" style="66"/>
  </cols>
  <sheetData>
    <row r="1" spans="1:21" ht="13.5" customHeight="1" x14ac:dyDescent="0.25">
      <c r="F1" s="76"/>
      <c r="G1" s="76"/>
      <c r="H1" s="76"/>
      <c r="I1" s="76"/>
      <c r="K1" s="76"/>
      <c r="L1" s="76"/>
      <c r="M1" s="76"/>
      <c r="N1" s="76"/>
    </row>
    <row r="2" spans="1:21" ht="30" customHeight="1" x14ac:dyDescent="0.25">
      <c r="E2" s="74"/>
      <c r="F2" s="435" t="s">
        <v>59</v>
      </c>
      <c r="G2" s="435"/>
      <c r="H2" s="435"/>
      <c r="I2" s="435"/>
      <c r="J2" s="79"/>
      <c r="K2" s="422" t="s">
        <v>54</v>
      </c>
      <c r="L2" s="422"/>
      <c r="M2" s="422"/>
      <c r="N2" s="422"/>
      <c r="O2" s="75"/>
      <c r="P2" s="433" t="s">
        <v>58</v>
      </c>
    </row>
    <row r="3" spans="1:21" ht="15" customHeight="1" x14ac:dyDescent="0.25">
      <c r="B3" s="67"/>
      <c r="C3" s="67"/>
      <c r="D3" s="68"/>
      <c r="E3" s="74"/>
      <c r="F3" s="436" t="s">
        <v>51</v>
      </c>
      <c r="G3" s="436"/>
      <c r="H3" s="436"/>
      <c r="I3" s="436"/>
      <c r="J3" s="79"/>
      <c r="K3" s="432" t="s">
        <v>66</v>
      </c>
      <c r="L3" s="432" t="s">
        <v>53</v>
      </c>
      <c r="M3" s="432" t="s">
        <v>67</v>
      </c>
      <c r="N3" s="432" t="s">
        <v>68</v>
      </c>
      <c r="O3" s="75"/>
      <c r="P3" s="433"/>
    </row>
    <row r="4" spans="1:21" ht="15" customHeight="1" x14ac:dyDescent="0.25">
      <c r="B4" s="68"/>
      <c r="C4" s="68"/>
      <c r="D4" s="68"/>
      <c r="E4" s="74"/>
      <c r="F4" s="175">
        <v>1</v>
      </c>
      <c r="G4" s="175">
        <v>2</v>
      </c>
      <c r="H4" s="43" t="s">
        <v>20</v>
      </c>
      <c r="I4" s="43" t="s">
        <v>50</v>
      </c>
      <c r="J4" s="79"/>
      <c r="K4" s="432"/>
      <c r="L4" s="432"/>
      <c r="M4" s="432"/>
      <c r="N4" s="432"/>
      <c r="O4" s="75"/>
      <c r="P4" s="433"/>
    </row>
    <row r="5" spans="1:21" ht="7.5" customHeight="1" thickBot="1" x14ac:dyDescent="0.3">
      <c r="B5" s="76"/>
      <c r="C5" s="76"/>
      <c r="D5" s="76"/>
      <c r="F5" s="78"/>
      <c r="G5" s="78"/>
      <c r="H5" s="78"/>
      <c r="I5" s="78"/>
      <c r="K5" s="78"/>
      <c r="L5" s="78"/>
      <c r="M5" s="78"/>
      <c r="N5" s="78"/>
      <c r="P5" s="76"/>
    </row>
    <row r="6" spans="1:21" ht="18.75" customHeight="1" x14ac:dyDescent="0.25">
      <c r="A6" s="74"/>
      <c r="B6" s="435" t="s">
        <v>60</v>
      </c>
      <c r="C6" s="434" t="s">
        <v>52</v>
      </c>
      <c r="D6" s="44">
        <v>1</v>
      </c>
      <c r="E6" s="74"/>
      <c r="F6" s="197"/>
      <c r="G6" s="184"/>
      <c r="H6" s="188"/>
      <c r="I6" s="198"/>
      <c r="J6" s="79"/>
      <c r="K6" s="45"/>
      <c r="L6" s="179"/>
      <c r="M6" s="46"/>
      <c r="N6" s="181"/>
      <c r="O6" s="79"/>
      <c r="P6" s="53"/>
      <c r="Q6" s="75"/>
    </row>
    <row r="7" spans="1:21" ht="18.75" customHeight="1" x14ac:dyDescent="0.25">
      <c r="A7" s="74"/>
      <c r="B7" s="435"/>
      <c r="C7" s="434"/>
      <c r="D7" s="174">
        <v>2</v>
      </c>
      <c r="E7" s="74"/>
      <c r="F7" s="196"/>
      <c r="G7" s="186"/>
      <c r="H7" s="177"/>
      <c r="I7" s="199"/>
      <c r="J7" s="200"/>
      <c r="K7" s="178"/>
      <c r="L7" s="93"/>
      <c r="M7" s="180"/>
      <c r="N7" s="49"/>
      <c r="O7" s="79"/>
      <c r="P7" s="183"/>
      <c r="Q7" s="75"/>
      <c r="S7" s="81"/>
      <c r="T7" s="81"/>
      <c r="U7" s="81"/>
    </row>
    <row r="8" spans="1:21" ht="18.75" customHeight="1" x14ac:dyDescent="0.25">
      <c r="A8" s="74"/>
      <c r="B8" s="435"/>
      <c r="C8" s="434"/>
      <c r="D8" s="174" t="s">
        <v>20</v>
      </c>
      <c r="E8" s="74"/>
      <c r="F8" s="194"/>
      <c r="G8" s="189"/>
      <c r="H8" s="187"/>
      <c r="I8" s="201"/>
      <c r="J8" s="200"/>
      <c r="K8" s="48"/>
      <c r="L8" s="180"/>
      <c r="M8" s="180"/>
      <c r="N8" s="182"/>
      <c r="O8" s="79"/>
      <c r="P8" s="173"/>
      <c r="Q8" s="75"/>
      <c r="S8" s="81"/>
    </row>
    <row r="9" spans="1:21" ht="18.75" customHeight="1" thickBot="1" x14ac:dyDescent="0.3">
      <c r="A9" s="74"/>
      <c r="B9" s="435"/>
      <c r="C9" s="434"/>
      <c r="D9" s="44" t="s">
        <v>50</v>
      </c>
      <c r="E9" s="195"/>
      <c r="F9" s="55"/>
      <c r="G9" s="185"/>
      <c r="H9" s="176"/>
      <c r="I9" s="42"/>
      <c r="J9" s="202"/>
      <c r="K9" s="50"/>
      <c r="L9" s="51"/>
      <c r="M9" s="51"/>
      <c r="N9" s="52"/>
      <c r="O9" s="79"/>
      <c r="P9" s="54"/>
      <c r="Q9" s="75"/>
    </row>
    <row r="10" spans="1:21" ht="7.5" customHeight="1" thickBot="1" x14ac:dyDescent="0.3">
      <c r="B10" s="80"/>
      <c r="C10" s="80"/>
      <c r="D10" s="77"/>
      <c r="E10" s="77"/>
      <c r="F10" s="203"/>
      <c r="G10" s="203"/>
      <c r="H10" s="78"/>
      <c r="I10" s="78"/>
      <c r="K10" s="77"/>
      <c r="L10" s="77"/>
      <c r="M10" s="77"/>
      <c r="N10" s="77"/>
      <c r="P10" s="77"/>
    </row>
    <row r="11" spans="1:21" ht="15" customHeight="1" thickBot="1" x14ac:dyDescent="0.3">
      <c r="B11" s="71" t="s">
        <v>29</v>
      </c>
      <c r="C11" s="69"/>
      <c r="E11" s="74"/>
      <c r="F11" s="193"/>
      <c r="G11" s="191"/>
      <c r="H11" s="192"/>
      <c r="I11" s="59"/>
      <c r="J11" s="75"/>
    </row>
    <row r="12" spans="1:21" ht="7.5" customHeight="1" thickBot="1" x14ac:dyDescent="0.3">
      <c r="B12" s="66"/>
      <c r="C12" s="66"/>
      <c r="F12" s="203"/>
      <c r="G12" s="78"/>
      <c r="H12" s="78"/>
      <c r="I12" s="78"/>
    </row>
    <row r="13" spans="1:21" ht="15" customHeight="1" thickBot="1" x14ac:dyDescent="0.3">
      <c r="B13" s="70" t="s">
        <v>56</v>
      </c>
      <c r="C13" s="69"/>
      <c r="E13" s="74"/>
      <c r="F13" s="204"/>
      <c r="G13" s="190"/>
      <c r="H13" s="211"/>
      <c r="I13" s="57"/>
      <c r="J13" s="207"/>
    </row>
    <row r="14" spans="1:21" ht="6.75" customHeight="1" thickBot="1" x14ac:dyDescent="0.3">
      <c r="B14" s="69"/>
      <c r="C14" s="69"/>
      <c r="F14" s="78"/>
      <c r="G14" s="78"/>
      <c r="H14" s="78"/>
      <c r="I14" s="78"/>
    </row>
    <row r="15" spans="1:21" ht="33.65" customHeight="1" thickBot="1" x14ac:dyDescent="0.3">
      <c r="B15" s="172" t="s">
        <v>58</v>
      </c>
      <c r="C15" s="69"/>
      <c r="E15" s="74"/>
      <c r="F15" s="210"/>
      <c r="G15" s="209"/>
      <c r="H15" s="208"/>
      <c r="I15" s="206"/>
      <c r="J15" s="207"/>
    </row>
    <row r="16" spans="1:21" ht="13.5" customHeight="1" x14ac:dyDescent="0.25">
      <c r="B16" s="69"/>
      <c r="C16" s="69"/>
      <c r="E16" s="213"/>
      <c r="F16" s="212"/>
      <c r="G16" s="205"/>
      <c r="H16" s="205"/>
      <c r="I16" s="205"/>
    </row>
    <row r="17" spans="2:4" ht="13.5" customHeight="1" x14ac:dyDescent="0.25">
      <c r="B17" s="69"/>
      <c r="C17" s="69"/>
    </row>
    <row r="18" spans="2:4" ht="13.5" customHeight="1" x14ac:dyDescent="0.25">
      <c r="B18" s="69"/>
      <c r="C18" s="69"/>
    </row>
    <row r="20" spans="2:4" ht="13.5" customHeight="1" x14ac:dyDescent="0.25">
      <c r="B20" s="69"/>
      <c r="C20" s="69"/>
      <c r="D20" s="69"/>
    </row>
    <row r="21" spans="2:4" ht="13.5" customHeight="1" x14ac:dyDescent="0.25">
      <c r="B21" s="69"/>
      <c r="C21" s="69"/>
      <c r="D21" s="69"/>
    </row>
    <row r="22" spans="2:4" ht="13.5" customHeight="1" x14ac:dyDescent="0.25">
      <c r="B22" s="69"/>
      <c r="C22" s="69"/>
      <c r="D22" s="69"/>
    </row>
    <row r="23" spans="2:4" ht="13.5" customHeight="1" x14ac:dyDescent="0.25">
      <c r="B23" s="69"/>
      <c r="C23" s="69"/>
      <c r="D23" s="69"/>
    </row>
    <row r="25" spans="2:4" ht="13.5" customHeight="1" x14ac:dyDescent="0.25">
      <c r="D25" s="69"/>
    </row>
    <row r="30" spans="2:4" ht="13.5" customHeight="1" x14ac:dyDescent="0.25">
      <c r="D30" s="72"/>
    </row>
    <row r="31" spans="2:4" ht="13.5" customHeight="1" x14ac:dyDescent="0.25">
      <c r="D31" s="73"/>
    </row>
    <row r="32" spans="2:4" ht="13.5" customHeight="1" x14ac:dyDescent="0.25">
      <c r="D32" s="73"/>
    </row>
    <row r="33" spans="4:4" ht="13.5" customHeight="1" x14ac:dyDescent="0.25">
      <c r="D33" s="73"/>
    </row>
    <row r="34" spans="4:4" ht="13.5" customHeight="1" x14ac:dyDescent="0.25">
      <c r="D34" s="73"/>
    </row>
    <row r="35" spans="4:4" ht="13.5" customHeight="1" x14ac:dyDescent="0.25">
      <c r="D35" s="73"/>
    </row>
  </sheetData>
  <mergeCells count="10">
    <mergeCell ref="B6:B9"/>
    <mergeCell ref="C6:C9"/>
    <mergeCell ref="F2:I2"/>
    <mergeCell ref="K2:N2"/>
    <mergeCell ref="P2:P4"/>
    <mergeCell ref="F3:I3"/>
    <mergeCell ref="K3:K4"/>
    <mergeCell ref="L3:L4"/>
    <mergeCell ref="M3:M4"/>
    <mergeCell ref="N3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7"/>
  <sheetViews>
    <sheetView zoomScale="70" zoomScaleNormal="70" workbookViewId="0">
      <selection sqref="A1:XFD1048576"/>
    </sheetView>
  </sheetViews>
  <sheetFormatPr defaultColWidth="11.453125" defaultRowHeight="14.5" x14ac:dyDescent="0.25"/>
  <cols>
    <col min="1" max="1" width="2.6328125" style="65" customWidth="1"/>
    <col min="2" max="2" width="15.54296875" style="65" customWidth="1"/>
    <col min="3" max="3" width="5.6328125" style="65" customWidth="1"/>
    <col min="4" max="4" width="3.6328125" style="65" customWidth="1"/>
    <col min="5" max="5" width="3.54296875" style="65" customWidth="1"/>
    <col min="6" max="6" width="1" style="65" customWidth="1"/>
    <col min="7" max="22" width="2.90625" style="65" customWidth="1"/>
    <col min="23" max="23" width="1" style="65" customWidth="1"/>
    <col min="24" max="35" width="3.26953125" style="65" customWidth="1"/>
    <col min="36" max="36" width="1" style="65" customWidth="1"/>
    <col min="37" max="37" width="11.453125" style="65" customWidth="1"/>
    <col min="38" max="51" width="11.453125" style="65"/>
    <col min="52" max="16384" width="11.453125" style="66"/>
  </cols>
  <sheetData>
    <row r="1" spans="1:42" ht="11.4" customHeight="1" x14ac:dyDescent="0.25"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42" ht="18" customHeight="1" x14ac:dyDescent="0.25">
      <c r="F2" s="74"/>
      <c r="G2" s="462" t="s">
        <v>59</v>
      </c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214"/>
      <c r="X2" s="470" t="s">
        <v>54</v>
      </c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75"/>
      <c r="AK2" s="471" t="s">
        <v>58</v>
      </c>
    </row>
    <row r="3" spans="1:42" ht="30.75" customHeight="1" x14ac:dyDescent="0.25">
      <c r="F3" s="74"/>
      <c r="G3" s="449" t="s">
        <v>62</v>
      </c>
      <c r="H3" s="435"/>
      <c r="I3" s="435"/>
      <c r="J3" s="420"/>
      <c r="K3" s="450" t="s">
        <v>63</v>
      </c>
      <c r="L3" s="435"/>
      <c r="M3" s="435"/>
      <c r="N3" s="420"/>
      <c r="O3" s="450" t="s">
        <v>64</v>
      </c>
      <c r="P3" s="435"/>
      <c r="Q3" s="435"/>
      <c r="R3" s="420"/>
      <c r="S3" s="449" t="s">
        <v>65</v>
      </c>
      <c r="T3" s="435"/>
      <c r="U3" s="435"/>
      <c r="V3" s="435"/>
      <c r="W3" s="79"/>
      <c r="X3" s="437" t="s">
        <v>62</v>
      </c>
      <c r="Y3" s="437"/>
      <c r="Z3" s="437"/>
      <c r="AA3" s="463" t="s">
        <v>63</v>
      </c>
      <c r="AB3" s="422"/>
      <c r="AC3" s="422"/>
      <c r="AD3" s="463" t="s">
        <v>64</v>
      </c>
      <c r="AE3" s="437"/>
      <c r="AF3" s="437"/>
      <c r="AG3" s="464" t="s">
        <v>65</v>
      </c>
      <c r="AH3" s="464"/>
      <c r="AI3" s="464"/>
      <c r="AJ3" s="75"/>
      <c r="AK3" s="471"/>
    </row>
    <row r="4" spans="1:42" ht="15" customHeight="1" x14ac:dyDescent="0.25">
      <c r="B4" s="67"/>
      <c r="C4" s="67"/>
      <c r="D4" s="67"/>
      <c r="E4" s="68"/>
      <c r="F4" s="74"/>
      <c r="G4" s="436" t="s">
        <v>51</v>
      </c>
      <c r="H4" s="436"/>
      <c r="I4" s="436"/>
      <c r="J4" s="436"/>
      <c r="K4" s="461" t="s">
        <v>51</v>
      </c>
      <c r="L4" s="436"/>
      <c r="M4" s="436"/>
      <c r="N4" s="436"/>
      <c r="O4" s="461" t="s">
        <v>51</v>
      </c>
      <c r="P4" s="436"/>
      <c r="Q4" s="436"/>
      <c r="R4" s="436"/>
      <c r="S4" s="461" t="s">
        <v>51</v>
      </c>
      <c r="T4" s="436"/>
      <c r="U4" s="436"/>
      <c r="V4" s="436"/>
      <c r="W4" s="79"/>
      <c r="X4" s="432" t="s">
        <v>66</v>
      </c>
      <c r="Y4" s="432" t="s">
        <v>53</v>
      </c>
      <c r="Z4" s="432" t="s">
        <v>67</v>
      </c>
      <c r="AA4" s="465" t="s">
        <v>66</v>
      </c>
      <c r="AB4" s="432" t="s">
        <v>53</v>
      </c>
      <c r="AC4" s="432" t="s">
        <v>67</v>
      </c>
      <c r="AD4" s="465" t="s">
        <v>66</v>
      </c>
      <c r="AE4" s="432" t="s">
        <v>53</v>
      </c>
      <c r="AF4" s="432" t="s">
        <v>67</v>
      </c>
      <c r="AG4" s="465" t="s">
        <v>66</v>
      </c>
      <c r="AH4" s="432" t="s">
        <v>53</v>
      </c>
      <c r="AI4" s="432" t="s">
        <v>67</v>
      </c>
      <c r="AJ4" s="75"/>
      <c r="AK4" s="471"/>
    </row>
    <row r="5" spans="1:42" ht="15" customHeight="1" x14ac:dyDescent="0.25">
      <c r="B5" s="68"/>
      <c r="C5" s="68"/>
      <c r="D5" s="68"/>
      <c r="E5" s="68"/>
      <c r="F5" s="74"/>
      <c r="G5" s="43">
        <v>1</v>
      </c>
      <c r="H5" s="43">
        <v>2</v>
      </c>
      <c r="I5" s="43" t="s">
        <v>20</v>
      </c>
      <c r="J5" s="43" t="s">
        <v>50</v>
      </c>
      <c r="K5" s="96">
        <v>1</v>
      </c>
      <c r="L5" s="43">
        <v>2</v>
      </c>
      <c r="M5" s="43" t="s">
        <v>20</v>
      </c>
      <c r="N5" s="97" t="s">
        <v>50</v>
      </c>
      <c r="O5" s="43">
        <v>1</v>
      </c>
      <c r="P5" s="43">
        <v>2</v>
      </c>
      <c r="Q5" s="43" t="s">
        <v>20</v>
      </c>
      <c r="R5" s="43" t="s">
        <v>50</v>
      </c>
      <c r="S5" s="96">
        <v>1</v>
      </c>
      <c r="T5" s="43">
        <v>2</v>
      </c>
      <c r="U5" s="43" t="s">
        <v>20</v>
      </c>
      <c r="V5" s="43" t="s">
        <v>50</v>
      </c>
      <c r="W5" s="79"/>
      <c r="X5" s="432"/>
      <c r="Y5" s="432"/>
      <c r="Z5" s="432"/>
      <c r="AA5" s="465"/>
      <c r="AB5" s="432"/>
      <c r="AC5" s="432"/>
      <c r="AD5" s="465"/>
      <c r="AE5" s="432"/>
      <c r="AF5" s="432"/>
      <c r="AG5" s="465"/>
      <c r="AH5" s="432"/>
      <c r="AI5" s="432"/>
      <c r="AJ5" s="75"/>
      <c r="AK5" s="472"/>
    </row>
    <row r="6" spans="1:42" ht="5.25" customHeight="1" thickBot="1" x14ac:dyDescent="0.3">
      <c r="B6" s="76"/>
      <c r="C6" s="76"/>
      <c r="D6" s="76"/>
      <c r="E6" s="76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4"/>
      <c r="AK6" s="292"/>
      <c r="AL6" s="293"/>
    </row>
    <row r="7" spans="1:42" ht="15" customHeight="1" x14ac:dyDescent="0.25">
      <c r="A7" s="74"/>
      <c r="B7" s="462" t="s">
        <v>60</v>
      </c>
      <c r="C7" s="453" t="s">
        <v>62</v>
      </c>
      <c r="D7" s="434" t="s">
        <v>52</v>
      </c>
      <c r="E7" s="44">
        <v>1</v>
      </c>
      <c r="F7" s="79"/>
      <c r="G7" s="35"/>
      <c r="H7" s="36"/>
      <c r="I7" s="36"/>
      <c r="J7" s="129"/>
      <c r="K7" s="98"/>
      <c r="L7" s="98"/>
      <c r="M7" s="98"/>
      <c r="N7" s="98"/>
      <c r="O7" s="138"/>
      <c r="P7" s="98"/>
      <c r="Q7" s="98"/>
      <c r="R7" s="137"/>
      <c r="S7" s="98"/>
      <c r="T7" s="98"/>
      <c r="U7" s="98"/>
      <c r="V7" s="99"/>
      <c r="W7" s="79"/>
      <c r="X7" s="105"/>
      <c r="Y7" s="106"/>
      <c r="Z7" s="106"/>
      <c r="AA7" s="153"/>
      <c r="AB7" s="108"/>
      <c r="AC7" s="108"/>
      <c r="AD7" s="165"/>
      <c r="AE7" s="109"/>
      <c r="AF7" s="109"/>
      <c r="AG7" s="285"/>
      <c r="AH7" s="109"/>
      <c r="AI7" s="288"/>
      <c r="AJ7" s="202"/>
      <c r="AK7" s="466"/>
      <c r="AL7" s="75"/>
    </row>
    <row r="8" spans="1:42" ht="15" customHeight="1" x14ac:dyDescent="0.25">
      <c r="A8" s="74"/>
      <c r="B8" s="462"/>
      <c r="C8" s="452"/>
      <c r="D8" s="434"/>
      <c r="E8" s="44">
        <v>2</v>
      </c>
      <c r="F8" s="79"/>
      <c r="G8" s="38"/>
      <c r="H8" s="440"/>
      <c r="I8" s="441"/>
      <c r="J8" s="128"/>
      <c r="K8" s="104"/>
      <c r="L8" s="457"/>
      <c r="M8" s="458"/>
      <c r="N8" s="127"/>
      <c r="O8" s="104"/>
      <c r="P8" s="457"/>
      <c r="Q8" s="458"/>
      <c r="R8" s="127"/>
      <c r="S8" s="104"/>
      <c r="T8" s="457"/>
      <c r="U8" s="458"/>
      <c r="V8" s="101"/>
      <c r="W8" s="79"/>
      <c r="X8" s="107"/>
      <c r="Y8" s="93"/>
      <c r="Z8" s="93"/>
      <c r="AA8" s="147"/>
      <c r="AB8" s="110"/>
      <c r="AC8" s="110"/>
      <c r="AD8" s="149"/>
      <c r="AE8" s="111"/>
      <c r="AF8" s="284"/>
      <c r="AG8" s="111"/>
      <c r="AH8" s="111"/>
      <c r="AI8" s="289"/>
      <c r="AJ8" s="202"/>
      <c r="AK8" s="438"/>
      <c r="AL8" s="75"/>
      <c r="AN8" s="81"/>
      <c r="AO8" s="81"/>
      <c r="AP8" s="81"/>
    </row>
    <row r="9" spans="1:42" ht="15" customHeight="1" x14ac:dyDescent="0.25">
      <c r="A9" s="74"/>
      <c r="B9" s="462"/>
      <c r="C9" s="452"/>
      <c r="D9" s="434"/>
      <c r="E9" s="44" t="s">
        <v>20</v>
      </c>
      <c r="F9" s="79"/>
      <c r="G9" s="38"/>
      <c r="H9" s="441"/>
      <c r="I9" s="441"/>
      <c r="J9" s="128"/>
      <c r="K9" s="104"/>
      <c r="L9" s="458"/>
      <c r="M9" s="458"/>
      <c r="N9" s="104"/>
      <c r="O9" s="121"/>
      <c r="P9" s="458"/>
      <c r="Q9" s="458"/>
      <c r="R9" s="127"/>
      <c r="S9" s="104"/>
      <c r="T9" s="458"/>
      <c r="U9" s="458"/>
      <c r="V9" s="101"/>
      <c r="W9" s="79"/>
      <c r="X9" s="107"/>
      <c r="Y9" s="93"/>
      <c r="Z9" s="93"/>
      <c r="AA9" s="279"/>
      <c r="AB9" s="110"/>
      <c r="AC9" s="110"/>
      <c r="AD9" s="149"/>
      <c r="AE9" s="111"/>
      <c r="AF9" s="111"/>
      <c r="AG9" s="149"/>
      <c r="AH9" s="111"/>
      <c r="AI9" s="111"/>
      <c r="AJ9" s="200"/>
      <c r="AK9" s="438"/>
      <c r="AL9" s="75"/>
      <c r="AN9" s="81"/>
    </row>
    <row r="10" spans="1:42" ht="15" customHeight="1" x14ac:dyDescent="0.25">
      <c r="A10" s="74"/>
      <c r="B10" s="462"/>
      <c r="C10" s="454"/>
      <c r="D10" s="434"/>
      <c r="E10" s="44" t="s">
        <v>50</v>
      </c>
      <c r="F10" s="79"/>
      <c r="G10" s="130"/>
      <c r="H10" s="131"/>
      <c r="I10" s="55"/>
      <c r="J10" s="128"/>
      <c r="K10" s="104"/>
      <c r="L10" s="104"/>
      <c r="M10" s="104"/>
      <c r="N10" s="104"/>
      <c r="O10" s="139"/>
      <c r="P10" s="104"/>
      <c r="Q10" s="104"/>
      <c r="R10" s="136"/>
      <c r="S10" s="134"/>
      <c r="T10" s="104"/>
      <c r="U10" s="104"/>
      <c r="V10" s="101"/>
      <c r="W10" s="79"/>
      <c r="X10" s="107"/>
      <c r="Y10" s="93"/>
      <c r="Z10" s="280"/>
      <c r="AA10" s="110"/>
      <c r="AB10" s="110"/>
      <c r="AC10" s="110"/>
      <c r="AD10" s="161"/>
      <c r="AE10" s="111"/>
      <c r="AF10" s="111"/>
      <c r="AG10" s="161"/>
      <c r="AH10" s="111"/>
      <c r="AI10" s="111"/>
      <c r="AJ10" s="200"/>
      <c r="AK10" s="467"/>
      <c r="AL10" s="75"/>
    </row>
    <row r="11" spans="1:42" ht="15" customHeight="1" x14ac:dyDescent="0.25">
      <c r="A11" s="74"/>
      <c r="B11" s="462"/>
      <c r="C11" s="453" t="s">
        <v>63</v>
      </c>
      <c r="D11" s="455" t="s">
        <v>52</v>
      </c>
      <c r="E11" s="82">
        <v>1</v>
      </c>
      <c r="F11" s="79"/>
      <c r="G11" s="100"/>
      <c r="H11" s="104"/>
      <c r="I11" s="123"/>
      <c r="J11" s="122"/>
      <c r="K11" s="132"/>
      <c r="L11" s="133"/>
      <c r="M11" s="133"/>
      <c r="N11" s="140"/>
      <c r="O11" s="123"/>
      <c r="P11" s="123"/>
      <c r="Q11" s="123"/>
      <c r="R11" s="122"/>
      <c r="S11" s="104"/>
      <c r="T11" s="123"/>
      <c r="U11" s="123"/>
      <c r="V11" s="135"/>
      <c r="W11" s="79"/>
      <c r="X11" s="148"/>
      <c r="Y11" s="151"/>
      <c r="Z11" s="151"/>
      <c r="AA11" s="281"/>
      <c r="AB11" s="152"/>
      <c r="AC11" s="152"/>
      <c r="AD11" s="150"/>
      <c r="AE11" s="151"/>
      <c r="AF11" s="151"/>
      <c r="AG11" s="150"/>
      <c r="AH11" s="151"/>
      <c r="AI11" s="151"/>
      <c r="AJ11" s="200"/>
      <c r="AK11" s="468"/>
      <c r="AL11" s="75"/>
    </row>
    <row r="12" spans="1:42" ht="15" customHeight="1" x14ac:dyDescent="0.25">
      <c r="A12" s="74"/>
      <c r="B12" s="462"/>
      <c r="C12" s="452"/>
      <c r="D12" s="434"/>
      <c r="E12" s="44">
        <v>2</v>
      </c>
      <c r="F12" s="79"/>
      <c r="G12" s="100"/>
      <c r="H12" s="457"/>
      <c r="I12" s="458"/>
      <c r="J12" s="127"/>
      <c r="K12" s="55"/>
      <c r="L12" s="440"/>
      <c r="M12" s="441"/>
      <c r="N12" s="55"/>
      <c r="O12" s="121"/>
      <c r="P12" s="457"/>
      <c r="Q12" s="458"/>
      <c r="R12" s="127"/>
      <c r="S12" s="104"/>
      <c r="T12" s="457"/>
      <c r="U12" s="458"/>
      <c r="V12" s="101"/>
      <c r="W12" s="79"/>
      <c r="X12" s="112"/>
      <c r="Y12" s="111"/>
      <c r="Z12" s="111"/>
      <c r="AA12" s="154"/>
      <c r="AB12" s="94"/>
      <c r="AC12" s="94"/>
      <c r="AD12" s="283"/>
      <c r="AE12" s="111"/>
      <c r="AF12" s="111"/>
      <c r="AG12" s="149"/>
      <c r="AH12" s="111"/>
      <c r="AI12" s="111"/>
      <c r="AJ12" s="200"/>
      <c r="AK12" s="438"/>
      <c r="AL12" s="75"/>
      <c r="AN12" s="81"/>
      <c r="AO12" s="81"/>
      <c r="AP12" s="81"/>
    </row>
    <row r="13" spans="1:42" ht="15" customHeight="1" x14ac:dyDescent="0.25">
      <c r="A13" s="74"/>
      <c r="B13" s="462"/>
      <c r="C13" s="452"/>
      <c r="D13" s="434"/>
      <c r="E13" s="44" t="s">
        <v>20</v>
      </c>
      <c r="F13" s="79"/>
      <c r="G13" s="100"/>
      <c r="H13" s="458"/>
      <c r="I13" s="458"/>
      <c r="J13" s="104"/>
      <c r="K13" s="126"/>
      <c r="L13" s="441"/>
      <c r="M13" s="441"/>
      <c r="N13" s="55"/>
      <c r="O13" s="121"/>
      <c r="P13" s="458"/>
      <c r="Q13" s="458"/>
      <c r="R13" s="104"/>
      <c r="S13" s="121"/>
      <c r="T13" s="458"/>
      <c r="U13" s="458"/>
      <c r="V13" s="101"/>
      <c r="W13" s="79"/>
      <c r="X13" s="112"/>
      <c r="Y13" s="111"/>
      <c r="Z13" s="111"/>
      <c r="AA13" s="154"/>
      <c r="AB13" s="94"/>
      <c r="AC13" s="94"/>
      <c r="AD13" s="283"/>
      <c r="AE13" s="111"/>
      <c r="AF13" s="111"/>
      <c r="AG13" s="283"/>
      <c r="AH13" s="111"/>
      <c r="AI13" s="111"/>
      <c r="AJ13" s="200"/>
      <c r="AK13" s="438"/>
      <c r="AL13" s="75"/>
      <c r="AN13" s="81"/>
    </row>
    <row r="14" spans="1:42" ht="15" customHeight="1" x14ac:dyDescent="0.25">
      <c r="A14" s="74"/>
      <c r="B14" s="462"/>
      <c r="C14" s="452"/>
      <c r="D14" s="456"/>
      <c r="E14" s="83" t="s">
        <v>50</v>
      </c>
      <c r="F14" s="79"/>
      <c r="G14" s="146"/>
      <c r="H14" s="104"/>
      <c r="I14" s="104"/>
      <c r="J14" s="104"/>
      <c r="K14" s="142"/>
      <c r="L14" s="55"/>
      <c r="M14" s="55"/>
      <c r="N14" s="55"/>
      <c r="O14" s="139"/>
      <c r="P14" s="104"/>
      <c r="Q14" s="104"/>
      <c r="R14" s="104"/>
      <c r="S14" s="121"/>
      <c r="T14" s="104"/>
      <c r="U14" s="104"/>
      <c r="V14" s="145"/>
      <c r="W14" s="79"/>
      <c r="X14" s="166"/>
      <c r="Y14" s="160"/>
      <c r="Z14" s="111"/>
      <c r="AA14" s="278"/>
      <c r="AB14" s="167"/>
      <c r="AC14" s="94"/>
      <c r="AD14" s="161"/>
      <c r="AE14" s="111"/>
      <c r="AF14" s="111"/>
      <c r="AG14" s="286"/>
      <c r="AH14" s="111"/>
      <c r="AI14" s="290"/>
      <c r="AJ14" s="79"/>
      <c r="AK14" s="467"/>
      <c r="AL14" s="75"/>
    </row>
    <row r="15" spans="1:42" ht="15" customHeight="1" x14ac:dyDescent="0.25">
      <c r="A15" s="74"/>
      <c r="B15" s="462"/>
      <c r="C15" s="451" t="s">
        <v>64</v>
      </c>
      <c r="D15" s="455" t="s">
        <v>52</v>
      </c>
      <c r="E15" s="44">
        <v>1</v>
      </c>
      <c r="F15" s="79"/>
      <c r="G15" s="100"/>
      <c r="H15" s="123"/>
      <c r="I15" s="123"/>
      <c r="J15" s="122"/>
      <c r="K15" s="121"/>
      <c r="L15" s="123"/>
      <c r="M15" s="123"/>
      <c r="N15" s="122"/>
      <c r="O15" s="126"/>
      <c r="P15" s="133"/>
      <c r="Q15" s="133"/>
      <c r="R15" s="140"/>
      <c r="S15" s="141"/>
      <c r="T15" s="123"/>
      <c r="U15" s="123"/>
      <c r="V15" s="101"/>
      <c r="W15" s="79"/>
      <c r="X15" s="112"/>
      <c r="Y15" s="111"/>
      <c r="Z15" s="151"/>
      <c r="AA15" s="158"/>
      <c r="AB15" s="110"/>
      <c r="AC15" s="157"/>
      <c r="AD15" s="162"/>
      <c r="AE15" s="164"/>
      <c r="AF15" s="164"/>
      <c r="AG15" s="150"/>
      <c r="AH15" s="151"/>
      <c r="AI15" s="151"/>
      <c r="AJ15" s="200"/>
      <c r="AK15" s="468"/>
      <c r="AL15" s="75"/>
    </row>
    <row r="16" spans="1:42" ht="15" customHeight="1" x14ac:dyDescent="0.25">
      <c r="A16" s="74"/>
      <c r="B16" s="462"/>
      <c r="C16" s="452"/>
      <c r="D16" s="434"/>
      <c r="E16" s="44">
        <v>2</v>
      </c>
      <c r="F16" s="79"/>
      <c r="G16" s="100"/>
      <c r="H16" s="457"/>
      <c r="I16" s="458"/>
      <c r="J16" s="104"/>
      <c r="K16" s="121"/>
      <c r="L16" s="457"/>
      <c r="M16" s="458"/>
      <c r="N16" s="127"/>
      <c r="O16" s="55"/>
      <c r="P16" s="440"/>
      <c r="Q16" s="441"/>
      <c r="R16" s="55"/>
      <c r="S16" s="121"/>
      <c r="T16" s="457"/>
      <c r="U16" s="458"/>
      <c r="V16" s="101"/>
      <c r="W16" s="79"/>
      <c r="X16" s="112"/>
      <c r="Y16" s="111"/>
      <c r="Z16" s="111"/>
      <c r="AA16" s="147"/>
      <c r="AB16" s="110"/>
      <c r="AC16" s="282"/>
      <c r="AD16" s="93"/>
      <c r="AE16" s="93"/>
      <c r="AF16" s="93"/>
      <c r="AG16" s="149"/>
      <c r="AH16" s="111"/>
      <c r="AI16" s="111"/>
      <c r="AJ16" s="200"/>
      <c r="AK16" s="438"/>
      <c r="AL16" s="75"/>
      <c r="AN16" s="81"/>
      <c r="AO16" s="81"/>
      <c r="AP16" s="81"/>
    </row>
    <row r="17" spans="1:42" ht="15" customHeight="1" x14ac:dyDescent="0.25">
      <c r="A17" s="74"/>
      <c r="B17" s="462"/>
      <c r="C17" s="452"/>
      <c r="D17" s="434"/>
      <c r="E17" s="44" t="s">
        <v>20</v>
      </c>
      <c r="F17" s="79"/>
      <c r="G17" s="100"/>
      <c r="H17" s="458"/>
      <c r="I17" s="458"/>
      <c r="J17" s="104"/>
      <c r="K17" s="121"/>
      <c r="L17" s="458"/>
      <c r="M17" s="458"/>
      <c r="N17" s="104"/>
      <c r="O17" s="126"/>
      <c r="P17" s="441"/>
      <c r="Q17" s="441"/>
      <c r="R17" s="55"/>
      <c r="S17" s="121"/>
      <c r="T17" s="458"/>
      <c r="U17" s="458"/>
      <c r="V17" s="101"/>
      <c r="W17" s="79"/>
      <c r="X17" s="112"/>
      <c r="Y17" s="111"/>
      <c r="Z17" s="111"/>
      <c r="AA17" s="147"/>
      <c r="AB17" s="110"/>
      <c r="AC17" s="110"/>
      <c r="AD17" s="162"/>
      <c r="AE17" s="93"/>
      <c r="AF17" s="93"/>
      <c r="AG17" s="283"/>
      <c r="AH17" s="111"/>
      <c r="AI17" s="111"/>
      <c r="AJ17" s="200"/>
      <c r="AK17" s="438"/>
      <c r="AL17" s="75"/>
      <c r="AN17" s="81"/>
    </row>
    <row r="18" spans="1:42" ht="15" customHeight="1" x14ac:dyDescent="0.25">
      <c r="A18" s="74"/>
      <c r="B18" s="462"/>
      <c r="C18" s="452"/>
      <c r="D18" s="456"/>
      <c r="E18" s="83" t="s">
        <v>50</v>
      </c>
      <c r="F18" s="79"/>
      <c r="G18" s="100"/>
      <c r="H18" s="104"/>
      <c r="I18" s="104"/>
      <c r="J18" s="104"/>
      <c r="K18" s="121"/>
      <c r="L18" s="104"/>
      <c r="M18" s="104"/>
      <c r="N18" s="104"/>
      <c r="O18" s="142"/>
      <c r="P18" s="55"/>
      <c r="Q18" s="55"/>
      <c r="R18" s="55"/>
      <c r="S18" s="139"/>
      <c r="T18" s="104"/>
      <c r="U18" s="104"/>
      <c r="V18" s="101"/>
      <c r="W18" s="79"/>
      <c r="X18" s="112"/>
      <c r="Y18" s="111"/>
      <c r="Z18" s="111"/>
      <c r="AA18" s="147"/>
      <c r="AB18" s="110"/>
      <c r="AC18" s="110"/>
      <c r="AD18" s="163"/>
      <c r="AE18" s="159"/>
      <c r="AF18" s="159"/>
      <c r="AG18" s="161"/>
      <c r="AH18" s="111"/>
      <c r="AI18" s="111"/>
      <c r="AJ18" s="200"/>
      <c r="AK18" s="467"/>
      <c r="AL18" s="75"/>
    </row>
    <row r="19" spans="1:42" ht="15" customHeight="1" x14ac:dyDescent="0.25">
      <c r="A19" s="74"/>
      <c r="B19" s="462"/>
      <c r="C19" s="451" t="s">
        <v>65</v>
      </c>
      <c r="D19" s="434" t="s">
        <v>52</v>
      </c>
      <c r="E19" s="44">
        <v>1</v>
      </c>
      <c r="F19" s="79"/>
      <c r="G19" s="124"/>
      <c r="H19" s="123"/>
      <c r="I19" s="123"/>
      <c r="J19" s="122"/>
      <c r="K19" s="141"/>
      <c r="L19" s="123"/>
      <c r="M19" s="123"/>
      <c r="N19" s="122"/>
      <c r="O19" s="104"/>
      <c r="P19" s="123"/>
      <c r="Q19" s="123"/>
      <c r="R19" s="122"/>
      <c r="S19" s="55"/>
      <c r="T19" s="133"/>
      <c r="U19" s="133"/>
      <c r="V19" s="143"/>
      <c r="W19" s="79"/>
      <c r="X19" s="156"/>
      <c r="Y19" s="157"/>
      <c r="Z19" s="157"/>
      <c r="AA19" s="158"/>
      <c r="AB19" s="157"/>
      <c r="AC19" s="157"/>
      <c r="AD19" s="158"/>
      <c r="AE19" s="110"/>
      <c r="AF19" s="110"/>
      <c r="AG19" s="281"/>
      <c r="AH19" s="152"/>
      <c r="AI19" s="291"/>
      <c r="AJ19" s="79"/>
      <c r="AK19" s="438"/>
      <c r="AL19" s="75"/>
    </row>
    <row r="20" spans="1:42" ht="15" customHeight="1" x14ac:dyDescent="0.25">
      <c r="A20" s="74"/>
      <c r="B20" s="462"/>
      <c r="C20" s="452"/>
      <c r="D20" s="434"/>
      <c r="E20" s="44">
        <v>2</v>
      </c>
      <c r="F20" s="79"/>
      <c r="G20" s="100"/>
      <c r="H20" s="457"/>
      <c r="I20" s="458"/>
      <c r="J20" s="104"/>
      <c r="K20" s="121"/>
      <c r="L20" s="457"/>
      <c r="M20" s="458"/>
      <c r="N20" s="127"/>
      <c r="O20" s="104"/>
      <c r="P20" s="457"/>
      <c r="Q20" s="458"/>
      <c r="R20" s="104"/>
      <c r="S20" s="126"/>
      <c r="T20" s="440"/>
      <c r="U20" s="441"/>
      <c r="V20" s="39"/>
      <c r="W20" s="79"/>
      <c r="X20" s="113"/>
      <c r="Y20" s="110"/>
      <c r="Z20" s="110"/>
      <c r="AA20" s="147"/>
      <c r="AB20" s="110"/>
      <c r="AC20" s="110"/>
      <c r="AD20" s="147"/>
      <c r="AE20" s="110"/>
      <c r="AF20" s="110"/>
      <c r="AG20" s="154"/>
      <c r="AH20" s="94"/>
      <c r="AI20" s="94"/>
      <c r="AJ20" s="200"/>
      <c r="AK20" s="438"/>
      <c r="AL20" s="75"/>
      <c r="AN20" s="81"/>
      <c r="AO20" s="81"/>
      <c r="AP20" s="81"/>
    </row>
    <row r="21" spans="1:42" ht="15" customHeight="1" x14ac:dyDescent="0.25">
      <c r="A21" s="74"/>
      <c r="B21" s="462"/>
      <c r="C21" s="452"/>
      <c r="D21" s="434"/>
      <c r="E21" s="44" t="s">
        <v>20</v>
      </c>
      <c r="F21" s="79"/>
      <c r="G21" s="100"/>
      <c r="H21" s="458"/>
      <c r="I21" s="458"/>
      <c r="J21" s="104"/>
      <c r="K21" s="121"/>
      <c r="L21" s="458"/>
      <c r="M21" s="458"/>
      <c r="N21" s="104"/>
      <c r="O21" s="121"/>
      <c r="P21" s="458"/>
      <c r="Q21" s="458"/>
      <c r="R21" s="104"/>
      <c r="S21" s="126"/>
      <c r="T21" s="441"/>
      <c r="U21" s="441"/>
      <c r="V21" s="39"/>
      <c r="W21" s="79"/>
      <c r="X21" s="113"/>
      <c r="Y21" s="110"/>
      <c r="Z21" s="110"/>
      <c r="AA21" s="279"/>
      <c r="AB21" s="110"/>
      <c r="AC21" s="110"/>
      <c r="AD21" s="147"/>
      <c r="AE21" s="110"/>
      <c r="AF21" s="110"/>
      <c r="AG21" s="154"/>
      <c r="AH21" s="94"/>
      <c r="AI21" s="94"/>
      <c r="AJ21" s="200"/>
      <c r="AK21" s="438"/>
      <c r="AL21" s="75"/>
      <c r="AN21" s="81"/>
    </row>
    <row r="22" spans="1:42" ht="15" customHeight="1" thickBot="1" x14ac:dyDescent="0.3">
      <c r="A22" s="74"/>
      <c r="B22" s="462"/>
      <c r="C22" s="452"/>
      <c r="D22" s="434"/>
      <c r="E22" s="44" t="s">
        <v>50</v>
      </c>
      <c r="F22" s="79"/>
      <c r="G22" s="102"/>
      <c r="H22" s="103"/>
      <c r="I22" s="103"/>
      <c r="J22" s="103"/>
      <c r="K22" s="120"/>
      <c r="L22" s="103"/>
      <c r="M22" s="103"/>
      <c r="N22" s="103"/>
      <c r="O22" s="120"/>
      <c r="P22" s="103"/>
      <c r="Q22" s="103"/>
      <c r="R22" s="103"/>
      <c r="S22" s="144"/>
      <c r="T22" s="41"/>
      <c r="U22" s="41"/>
      <c r="V22" s="42"/>
      <c r="W22" s="79"/>
      <c r="X22" s="114"/>
      <c r="Y22" s="115"/>
      <c r="Z22" s="115"/>
      <c r="AA22" s="155"/>
      <c r="AB22" s="115"/>
      <c r="AC22" s="115"/>
      <c r="AD22" s="155"/>
      <c r="AE22" s="115"/>
      <c r="AF22" s="115"/>
      <c r="AG22" s="287"/>
      <c r="AH22" s="95"/>
      <c r="AI22" s="95"/>
      <c r="AJ22" s="200"/>
      <c r="AK22" s="469"/>
      <c r="AL22" s="75"/>
    </row>
    <row r="23" spans="1:42" ht="5.25" customHeight="1" thickBot="1" x14ac:dyDescent="0.3">
      <c r="B23" s="80"/>
      <c r="C23" s="80"/>
      <c r="D23" s="80"/>
      <c r="E23" s="77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K23" s="77"/>
    </row>
    <row r="24" spans="1:42" ht="15" customHeight="1" thickBot="1" x14ac:dyDescent="0.3">
      <c r="A24" s="74"/>
      <c r="B24" s="460" t="s">
        <v>29</v>
      </c>
      <c r="C24" s="460"/>
      <c r="D24" s="84"/>
      <c r="F24" s="74"/>
      <c r="G24" s="58"/>
      <c r="H24" s="445"/>
      <c r="I24" s="446"/>
      <c r="J24" s="118"/>
      <c r="K24" s="64"/>
      <c r="L24" s="445"/>
      <c r="M24" s="446"/>
      <c r="N24" s="118"/>
      <c r="O24" s="64"/>
      <c r="P24" s="445"/>
      <c r="Q24" s="446"/>
      <c r="R24" s="64"/>
      <c r="S24" s="119"/>
      <c r="T24" s="445"/>
      <c r="U24" s="446"/>
      <c r="V24" s="59"/>
      <c r="W24" s="75"/>
    </row>
    <row r="25" spans="1:42" ht="5.25" customHeight="1" thickBot="1" x14ac:dyDescent="0.3">
      <c r="B25" s="85"/>
      <c r="C25" s="85"/>
      <c r="D25" s="69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AB25" s="125"/>
      <c r="AC25" s="75"/>
    </row>
    <row r="26" spans="1:42" ht="15" customHeight="1" x14ac:dyDescent="0.25">
      <c r="A26" s="74"/>
      <c r="B26" s="459" t="s">
        <v>58</v>
      </c>
      <c r="C26" s="459"/>
      <c r="D26" s="84"/>
      <c r="F26" s="74"/>
      <c r="G26" s="89"/>
      <c r="H26" s="87"/>
      <c r="I26" s="87"/>
      <c r="J26" s="87"/>
      <c r="K26" s="168"/>
      <c r="L26" s="87"/>
      <c r="M26" s="87"/>
      <c r="N26" s="87"/>
      <c r="O26" s="168"/>
      <c r="P26" s="87"/>
      <c r="Q26" s="87"/>
      <c r="R26" s="171"/>
      <c r="S26" s="88"/>
      <c r="T26" s="88"/>
      <c r="U26" s="88"/>
      <c r="V26" s="116"/>
      <c r="W26" s="75"/>
    </row>
    <row r="27" spans="1:42" ht="15" customHeight="1" thickBot="1" x14ac:dyDescent="0.3">
      <c r="A27" s="74"/>
      <c r="B27" s="459"/>
      <c r="C27" s="459"/>
      <c r="D27" s="84"/>
      <c r="F27" s="74"/>
      <c r="G27" s="90"/>
      <c r="H27" s="91"/>
      <c r="I27" s="91"/>
      <c r="J27" s="91"/>
      <c r="K27" s="169"/>
      <c r="L27" s="91"/>
      <c r="M27" s="91"/>
      <c r="N27" s="170"/>
      <c r="O27" s="91"/>
      <c r="P27" s="91"/>
      <c r="Q27" s="91"/>
      <c r="R27" s="170"/>
      <c r="S27" s="92"/>
      <c r="T27" s="92"/>
      <c r="U27" s="92"/>
      <c r="V27" s="117"/>
      <c r="W27" s="75"/>
    </row>
    <row r="28" spans="1:42" ht="13.5" customHeight="1" x14ac:dyDescent="0.25">
      <c r="B28" s="80"/>
      <c r="C28" s="80"/>
      <c r="D28" s="69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42" ht="13.5" customHeight="1" x14ac:dyDescent="0.25">
      <c r="B29" s="69"/>
      <c r="C29" s="69"/>
      <c r="D29" s="69"/>
    </row>
    <row r="30" spans="1:42" ht="13.5" customHeight="1" x14ac:dyDescent="0.25">
      <c r="B30" s="69"/>
      <c r="C30" s="69"/>
      <c r="D30" s="69"/>
    </row>
    <row r="32" spans="1:42" ht="13.5" customHeight="1" x14ac:dyDescent="0.25">
      <c r="B32" s="69"/>
      <c r="C32" s="69"/>
      <c r="D32" s="69"/>
      <c r="E32" s="69"/>
    </row>
    <row r="33" spans="2:5" ht="13.5" customHeight="1" x14ac:dyDescent="0.25">
      <c r="B33" s="69"/>
      <c r="C33" s="69"/>
      <c r="D33" s="69"/>
      <c r="E33" s="69"/>
    </row>
    <row r="34" spans="2:5" ht="13.5" customHeight="1" x14ac:dyDescent="0.25">
      <c r="B34" s="69"/>
      <c r="C34" s="69"/>
      <c r="D34" s="69"/>
      <c r="E34" s="69"/>
    </row>
    <row r="35" spans="2:5" ht="13.5" customHeight="1" x14ac:dyDescent="0.25">
      <c r="B35" s="69"/>
      <c r="C35" s="69"/>
      <c r="D35" s="69"/>
      <c r="E35" s="69"/>
    </row>
    <row r="37" spans="2:5" ht="13.5" customHeight="1" x14ac:dyDescent="0.25">
      <c r="E37" s="69"/>
    </row>
    <row r="42" spans="2:5" ht="13.5" customHeight="1" x14ac:dyDescent="0.25">
      <c r="E42" s="72"/>
    </row>
    <row r="43" spans="2:5" ht="13.5" customHeight="1" x14ac:dyDescent="0.25">
      <c r="E43" s="73"/>
    </row>
    <row r="44" spans="2:5" ht="13.5" customHeight="1" x14ac:dyDescent="0.25">
      <c r="E44" s="73"/>
    </row>
    <row r="45" spans="2:5" ht="13.5" customHeight="1" x14ac:dyDescent="0.25">
      <c r="E45" s="73"/>
    </row>
    <row r="46" spans="2:5" ht="13.5" customHeight="1" x14ac:dyDescent="0.25">
      <c r="E46" s="73"/>
    </row>
    <row r="47" spans="2:5" ht="13.5" customHeight="1" x14ac:dyDescent="0.25">
      <c r="E47" s="73"/>
    </row>
  </sheetData>
  <mergeCells count="62">
    <mergeCell ref="AK7:AK10"/>
    <mergeCell ref="AK11:AK14"/>
    <mergeCell ref="AK15:AK18"/>
    <mergeCell ref="AK19:AK22"/>
    <mergeCell ref="G2:V2"/>
    <mergeCell ref="X2:AI2"/>
    <mergeCell ref="P20:Q21"/>
    <mergeCell ref="T20:U21"/>
    <mergeCell ref="AD4:AD5"/>
    <mergeCell ref="AE4:AE5"/>
    <mergeCell ref="AF4:AF5"/>
    <mergeCell ref="L12:M13"/>
    <mergeCell ref="L16:M17"/>
    <mergeCell ref="AK2:AK5"/>
    <mergeCell ref="G4:J4"/>
    <mergeCell ref="Z4:Z5"/>
    <mergeCell ref="B7:B22"/>
    <mergeCell ref="AD3:AF3"/>
    <mergeCell ref="AG3:AI3"/>
    <mergeCell ref="AA4:AA5"/>
    <mergeCell ref="AB4:AB5"/>
    <mergeCell ref="AC4:AC5"/>
    <mergeCell ref="AG4:AG5"/>
    <mergeCell ref="AH4:AH5"/>
    <mergeCell ref="AI4:AI5"/>
    <mergeCell ref="X3:Z3"/>
    <mergeCell ref="AA3:AC3"/>
    <mergeCell ref="D19:D22"/>
    <mergeCell ref="H20:I21"/>
    <mergeCell ref="L20:M21"/>
    <mergeCell ref="X4:X5"/>
    <mergeCell ref="Y4:Y5"/>
    <mergeCell ref="B26:C27"/>
    <mergeCell ref="B24:C24"/>
    <mergeCell ref="S3:V3"/>
    <mergeCell ref="S4:V4"/>
    <mergeCell ref="T8:U9"/>
    <mergeCell ref="T12:U13"/>
    <mergeCell ref="T16:U17"/>
    <mergeCell ref="O3:R3"/>
    <mergeCell ref="L24:M24"/>
    <mergeCell ref="O4:R4"/>
    <mergeCell ref="P8:Q9"/>
    <mergeCell ref="P12:Q13"/>
    <mergeCell ref="P16:Q17"/>
    <mergeCell ref="P24:Q24"/>
    <mergeCell ref="K4:N4"/>
    <mergeCell ref="L8:M9"/>
    <mergeCell ref="G3:J3"/>
    <mergeCell ref="K3:N3"/>
    <mergeCell ref="T24:U24"/>
    <mergeCell ref="C19:C22"/>
    <mergeCell ref="H24:I24"/>
    <mergeCell ref="C7:C10"/>
    <mergeCell ref="C11:C14"/>
    <mergeCell ref="D11:D14"/>
    <mergeCell ref="H12:I13"/>
    <mergeCell ref="C15:C18"/>
    <mergeCell ref="D7:D10"/>
    <mergeCell ref="H8:I9"/>
    <mergeCell ref="D15:D18"/>
    <mergeCell ref="H16:I1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DBB4-0F6D-440B-B288-E96A2030471E}">
  <dimension ref="A1:AA37"/>
  <sheetViews>
    <sheetView tabSelected="1" zoomScale="175" zoomScaleNormal="175" workbookViewId="0">
      <selection activeCell="Z10" sqref="Z10"/>
    </sheetView>
  </sheetViews>
  <sheetFormatPr defaultColWidth="11.453125" defaultRowHeight="14.5" x14ac:dyDescent="0.25"/>
  <cols>
    <col min="1" max="1" width="2.6328125" style="65" customWidth="1"/>
    <col min="2" max="2" width="15.54296875" style="65" customWidth="1"/>
    <col min="3" max="3" width="5.6328125" style="65" customWidth="1"/>
    <col min="4" max="4" width="3.6328125" style="65" customWidth="1"/>
    <col min="5" max="5" width="3.54296875" style="65" customWidth="1"/>
    <col min="6" max="6" width="1" style="65" customWidth="1"/>
    <col min="7" max="18" width="2.90625" style="65" customWidth="1"/>
    <col min="19" max="19" width="3.26953125" style="74" customWidth="1"/>
    <col min="20" max="20" width="2.90625" style="65" customWidth="1"/>
    <col min="21" max="21" width="1.7265625" style="75" customWidth="1"/>
    <col min="22" max="22" width="7.1796875" style="351" customWidth="1"/>
    <col min="23" max="23" width="22.90625" style="487" customWidth="1"/>
    <col min="24" max="24" width="11.453125" style="65"/>
    <col min="25" max="25" width="11.453125" style="75"/>
    <col min="26" max="27" width="11.453125" style="65"/>
    <col min="28" max="16384" width="11.453125" style="66"/>
  </cols>
  <sheetData>
    <row r="1" spans="1:25" ht="11.4" customHeight="1" x14ac:dyDescent="0.25"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25" ht="18" customHeight="1" x14ac:dyDescent="0.25">
      <c r="F2" s="74"/>
      <c r="G2" s="462" t="s">
        <v>59</v>
      </c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</row>
    <row r="3" spans="1:25" ht="30.75" customHeight="1" x14ac:dyDescent="0.25">
      <c r="F3" s="74"/>
      <c r="G3" s="449" t="s">
        <v>62</v>
      </c>
      <c r="H3" s="435"/>
      <c r="I3" s="435"/>
      <c r="J3" s="420"/>
      <c r="K3" s="450" t="s">
        <v>63</v>
      </c>
      <c r="L3" s="435"/>
      <c r="M3" s="435"/>
      <c r="N3" s="420"/>
      <c r="O3" s="450" t="s">
        <v>64</v>
      </c>
      <c r="P3" s="435"/>
      <c r="Q3" s="435"/>
      <c r="R3" s="420"/>
    </row>
    <row r="4" spans="1:25" ht="15" customHeight="1" x14ac:dyDescent="0.25">
      <c r="B4" s="67"/>
      <c r="C4" s="67"/>
      <c r="D4" s="67"/>
      <c r="E4" s="68"/>
      <c r="F4" s="74"/>
      <c r="G4" s="473" t="s">
        <v>72</v>
      </c>
      <c r="H4" s="436"/>
      <c r="I4" s="436"/>
      <c r="J4" s="436"/>
      <c r="K4" s="474" t="s">
        <v>72</v>
      </c>
      <c r="L4" s="436"/>
      <c r="M4" s="436"/>
      <c r="N4" s="436"/>
      <c r="O4" s="474" t="s">
        <v>72</v>
      </c>
      <c r="P4" s="436"/>
      <c r="Q4" s="436"/>
      <c r="R4" s="436"/>
    </row>
    <row r="5" spans="1:25" ht="15" customHeight="1" x14ac:dyDescent="0.25">
      <c r="B5" s="68"/>
      <c r="C5" s="68"/>
      <c r="D5" s="68"/>
      <c r="E5" s="68"/>
      <c r="F5" s="74"/>
      <c r="G5" s="43">
        <v>1</v>
      </c>
      <c r="H5" s="43">
        <v>2</v>
      </c>
      <c r="I5" s="43">
        <v>3</v>
      </c>
      <c r="J5" s="43">
        <v>4</v>
      </c>
      <c r="K5" s="96">
        <v>1</v>
      </c>
      <c r="L5" s="43">
        <v>2</v>
      </c>
      <c r="M5" s="43">
        <v>3</v>
      </c>
      <c r="N5" s="97">
        <v>4</v>
      </c>
      <c r="O5" s="43">
        <v>1</v>
      </c>
      <c r="P5" s="43">
        <v>2</v>
      </c>
      <c r="Q5" s="43">
        <v>3</v>
      </c>
      <c r="R5" s="43">
        <v>4</v>
      </c>
      <c r="T5" s="69"/>
    </row>
    <row r="6" spans="1:25" ht="5.25" customHeight="1" thickBot="1" x14ac:dyDescent="0.3">
      <c r="B6" s="76"/>
      <c r="C6" s="76"/>
      <c r="D6" s="76"/>
      <c r="E6" s="76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</row>
    <row r="7" spans="1:25" ht="15" customHeight="1" x14ac:dyDescent="0.25">
      <c r="A7" s="74"/>
      <c r="B7" s="462" t="s">
        <v>60</v>
      </c>
      <c r="C7" s="453" t="s">
        <v>62</v>
      </c>
      <c r="D7" s="476" t="s">
        <v>72</v>
      </c>
      <c r="E7" s="44">
        <v>1</v>
      </c>
      <c r="F7" s="79"/>
      <c r="G7" s="359"/>
      <c r="H7" s="330"/>
      <c r="I7" s="319"/>
      <c r="J7" s="335"/>
      <c r="K7" s="334"/>
      <c r="L7" s="326"/>
      <c r="M7" s="320"/>
      <c r="N7" s="321"/>
      <c r="O7" s="334"/>
      <c r="P7" s="326"/>
      <c r="Q7" s="320"/>
      <c r="R7" s="321"/>
      <c r="S7" s="79"/>
      <c r="T7" s="352"/>
      <c r="V7" s="490" t="s">
        <v>79</v>
      </c>
      <c r="W7" s="488" t="s">
        <v>73</v>
      </c>
      <c r="X7" s="67"/>
      <c r="Y7" s="350"/>
    </row>
    <row r="8" spans="1:25" ht="15" customHeight="1" x14ac:dyDescent="0.25">
      <c r="A8" s="74"/>
      <c r="B8" s="462"/>
      <c r="C8" s="452"/>
      <c r="D8" s="434"/>
      <c r="E8" s="44">
        <v>2</v>
      </c>
      <c r="F8" s="79"/>
      <c r="G8" s="360"/>
      <c r="H8" s="295"/>
      <c r="I8" s="361"/>
      <c r="J8" s="323"/>
      <c r="K8" s="329"/>
      <c r="L8" s="297"/>
      <c r="M8" s="298"/>
      <c r="N8" s="362"/>
      <c r="O8" s="322"/>
      <c r="P8" s="307"/>
      <c r="Q8" s="305"/>
      <c r="R8" s="363"/>
      <c r="S8" s="79"/>
      <c r="T8" s="68"/>
      <c r="W8" s="487" t="s">
        <v>74</v>
      </c>
    </row>
    <row r="9" spans="1:25" ht="15" customHeight="1" x14ac:dyDescent="0.25">
      <c r="A9" s="74"/>
      <c r="B9" s="462"/>
      <c r="C9" s="452"/>
      <c r="D9" s="434"/>
      <c r="E9" s="44">
        <v>3</v>
      </c>
      <c r="F9" s="79"/>
      <c r="G9" s="364"/>
      <c r="H9" s="296"/>
      <c r="I9" s="294"/>
      <c r="J9" s="328"/>
      <c r="K9" s="362"/>
      <c r="L9" s="299"/>
      <c r="M9" s="300"/>
      <c r="N9" s="332"/>
      <c r="O9" s="362"/>
      <c r="P9" s="365"/>
      <c r="Q9" s="300"/>
      <c r="R9" s="363"/>
      <c r="S9" s="79"/>
    </row>
    <row r="10" spans="1:25" ht="15" customHeight="1" thickBot="1" x14ac:dyDescent="0.3">
      <c r="A10" s="74"/>
      <c r="B10" s="462"/>
      <c r="C10" s="454"/>
      <c r="D10" s="434"/>
      <c r="E10" s="44">
        <v>4</v>
      </c>
      <c r="F10" s="79"/>
      <c r="G10" s="364"/>
      <c r="H10" s="366"/>
      <c r="I10" s="324"/>
      <c r="J10" s="327"/>
      <c r="K10" s="362"/>
      <c r="L10" s="362"/>
      <c r="M10" s="325"/>
      <c r="N10" s="331"/>
      <c r="O10" s="362"/>
      <c r="P10" s="362"/>
      <c r="Q10" s="329"/>
      <c r="R10" s="367"/>
      <c r="S10" s="79"/>
      <c r="T10" s="353"/>
      <c r="V10" s="491" t="s">
        <v>80</v>
      </c>
      <c r="W10" s="489" t="s">
        <v>75</v>
      </c>
    </row>
    <row r="11" spans="1:25" ht="15" customHeight="1" thickBot="1" x14ac:dyDescent="0.3">
      <c r="A11" s="74"/>
      <c r="B11" s="462"/>
      <c r="C11" s="453" t="s">
        <v>63</v>
      </c>
      <c r="D11" s="475" t="s">
        <v>72</v>
      </c>
      <c r="E11" s="82">
        <v>1</v>
      </c>
      <c r="F11" s="79"/>
      <c r="G11" s="368"/>
      <c r="H11" s="326"/>
      <c r="I11" s="320"/>
      <c r="J11" s="321"/>
      <c r="K11" s="337"/>
      <c r="L11" s="330"/>
      <c r="M11" s="319"/>
      <c r="N11" s="335"/>
      <c r="O11" s="334"/>
      <c r="P11" s="326"/>
      <c r="Q11" s="320"/>
      <c r="R11" s="321"/>
      <c r="S11" s="356"/>
      <c r="W11" s="487" t="s">
        <v>76</v>
      </c>
    </row>
    <row r="12" spans="1:25" ht="15" customHeight="1" thickBot="1" x14ac:dyDescent="0.3">
      <c r="A12" s="74"/>
      <c r="B12" s="462"/>
      <c r="C12" s="452"/>
      <c r="D12" s="434"/>
      <c r="E12" s="44">
        <v>2</v>
      </c>
      <c r="F12" s="79"/>
      <c r="G12" s="322"/>
      <c r="H12" s="307"/>
      <c r="I12" s="301"/>
      <c r="J12" s="338"/>
      <c r="K12" s="311"/>
      <c r="L12" s="313"/>
      <c r="M12" s="369"/>
      <c r="N12" s="369"/>
      <c r="O12" s="333"/>
      <c r="P12" s="302"/>
      <c r="Q12" s="370"/>
      <c r="R12" s="363"/>
      <c r="S12" s="357"/>
      <c r="T12" s="349"/>
    </row>
    <row r="13" spans="1:25" ht="15" customHeight="1" x14ac:dyDescent="0.25">
      <c r="A13" s="74"/>
      <c r="B13" s="462"/>
      <c r="C13" s="452"/>
      <c r="D13" s="434"/>
      <c r="E13" s="44">
        <v>3</v>
      </c>
      <c r="F13" s="79"/>
      <c r="G13" s="371"/>
      <c r="H13" s="309"/>
      <c r="I13" s="306"/>
      <c r="J13" s="339"/>
      <c r="K13" s="369"/>
      <c r="L13" s="316"/>
      <c r="M13" s="315"/>
      <c r="N13" s="314"/>
      <c r="O13" s="336"/>
      <c r="P13" s="303"/>
      <c r="Q13" s="297"/>
      <c r="R13" s="372"/>
      <c r="S13" s="358"/>
      <c r="T13" s="354"/>
      <c r="V13" s="491" t="s">
        <v>81</v>
      </c>
      <c r="W13" s="489" t="s">
        <v>83</v>
      </c>
    </row>
    <row r="14" spans="1:25" ht="15" customHeight="1" thickBot="1" x14ac:dyDescent="0.3">
      <c r="A14" s="74"/>
      <c r="B14" s="462"/>
      <c r="C14" s="452"/>
      <c r="D14" s="456"/>
      <c r="E14" s="83">
        <v>4</v>
      </c>
      <c r="F14" s="79"/>
      <c r="G14" s="371"/>
      <c r="H14" s="370"/>
      <c r="I14" s="304"/>
      <c r="J14" s="342"/>
      <c r="K14" s="369"/>
      <c r="L14" s="369"/>
      <c r="M14" s="311"/>
      <c r="N14" s="312"/>
      <c r="O14" s="336"/>
      <c r="P14" s="370"/>
      <c r="Q14" s="304"/>
      <c r="R14" s="373"/>
      <c r="S14" s="79"/>
      <c r="T14" s="349"/>
      <c r="W14" s="489" t="s">
        <v>78</v>
      </c>
    </row>
    <row r="15" spans="1:25" ht="15" customHeight="1" x14ac:dyDescent="0.25">
      <c r="A15" s="74"/>
      <c r="B15" s="462"/>
      <c r="C15" s="451" t="s">
        <v>64</v>
      </c>
      <c r="D15" s="475" t="s">
        <v>72</v>
      </c>
      <c r="E15" s="44">
        <v>1</v>
      </c>
      <c r="F15" s="79"/>
      <c r="G15" s="368"/>
      <c r="H15" s="340"/>
      <c r="I15" s="341"/>
      <c r="J15" s="343"/>
      <c r="K15" s="348"/>
      <c r="L15" s="340"/>
      <c r="M15" s="341"/>
      <c r="N15" s="343"/>
      <c r="O15" s="346"/>
      <c r="P15" s="344"/>
      <c r="Q15" s="345"/>
      <c r="R15" s="335"/>
      <c r="S15" s="79"/>
      <c r="T15" s="349"/>
    </row>
    <row r="16" spans="1:25" ht="15" customHeight="1" x14ac:dyDescent="0.25">
      <c r="A16" s="74"/>
      <c r="B16" s="462"/>
      <c r="C16" s="452"/>
      <c r="D16" s="434"/>
      <c r="E16" s="44">
        <v>2</v>
      </c>
      <c r="F16" s="79"/>
      <c r="G16" s="322"/>
      <c r="H16" s="318"/>
      <c r="I16" s="370"/>
      <c r="J16" s="338"/>
      <c r="K16" s="303"/>
      <c r="L16" s="307"/>
      <c r="M16" s="308"/>
      <c r="N16" s="338"/>
      <c r="O16" s="311"/>
      <c r="P16" s="313"/>
      <c r="Q16" s="317"/>
      <c r="R16" s="374"/>
      <c r="S16" s="79"/>
      <c r="T16" s="355"/>
      <c r="V16" s="491" t="s">
        <v>82</v>
      </c>
      <c r="W16" s="489" t="s">
        <v>77</v>
      </c>
    </row>
    <row r="17" spans="1:23" ht="15" customHeight="1" x14ac:dyDescent="0.25">
      <c r="A17" s="74"/>
      <c r="B17" s="462"/>
      <c r="C17" s="452"/>
      <c r="D17" s="434"/>
      <c r="E17" s="44">
        <v>3</v>
      </c>
      <c r="F17" s="79"/>
      <c r="G17" s="371"/>
      <c r="H17" s="304"/>
      <c r="I17" s="307"/>
      <c r="J17" s="339"/>
      <c r="K17" s="370"/>
      <c r="L17" s="303"/>
      <c r="M17" s="307"/>
      <c r="N17" s="310"/>
      <c r="O17" s="347"/>
      <c r="P17" s="311"/>
      <c r="Q17" s="295"/>
      <c r="R17" s="323"/>
      <c r="S17" s="79"/>
      <c r="T17" s="349"/>
      <c r="W17" s="487" t="s">
        <v>78</v>
      </c>
    </row>
    <row r="18" spans="1:23" ht="15" customHeight="1" thickBot="1" x14ac:dyDescent="0.3">
      <c r="A18" s="74"/>
      <c r="B18" s="462"/>
      <c r="C18" s="452"/>
      <c r="D18" s="456"/>
      <c r="E18" s="83">
        <v>4</v>
      </c>
      <c r="F18" s="79"/>
      <c r="G18" s="375"/>
      <c r="H18" s="376"/>
      <c r="I18" s="376"/>
      <c r="J18" s="377"/>
      <c r="K18" s="375"/>
      <c r="L18" s="376"/>
      <c r="M18" s="376"/>
      <c r="N18" s="377"/>
      <c r="O18" s="378"/>
      <c r="P18" s="379"/>
      <c r="Q18" s="380"/>
      <c r="R18" s="381"/>
      <c r="S18" s="79"/>
    </row>
    <row r="19" spans="1:23" ht="13.5" customHeight="1" x14ac:dyDescent="0.25">
      <c r="B19" s="69"/>
      <c r="C19" s="69"/>
      <c r="D19" s="69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</row>
    <row r="20" spans="1:23" ht="13.5" customHeight="1" x14ac:dyDescent="0.25">
      <c r="B20" s="69"/>
      <c r="C20" s="69"/>
      <c r="D20" s="69"/>
    </row>
    <row r="22" spans="1:23" ht="13.5" customHeight="1" x14ac:dyDescent="0.25">
      <c r="B22" s="69"/>
      <c r="C22" s="69"/>
      <c r="D22" s="69"/>
      <c r="E22" s="69"/>
    </row>
    <row r="23" spans="1:23" ht="13.5" customHeight="1" x14ac:dyDescent="0.25">
      <c r="B23" s="69"/>
      <c r="C23" s="69"/>
      <c r="D23" s="69"/>
      <c r="E23" s="69"/>
    </row>
    <row r="24" spans="1:23" ht="13.5" customHeight="1" x14ac:dyDescent="0.25">
      <c r="B24" s="69"/>
      <c r="C24" s="69"/>
      <c r="D24" s="69"/>
      <c r="E24" s="69"/>
    </row>
    <row r="25" spans="1:23" ht="13.5" customHeight="1" x14ac:dyDescent="0.25">
      <c r="B25" s="69"/>
      <c r="C25" s="69"/>
      <c r="D25" s="69"/>
      <c r="E25" s="69"/>
    </row>
    <row r="27" spans="1:23" ht="13.5" customHeight="1" x14ac:dyDescent="0.25">
      <c r="E27" s="69"/>
    </row>
    <row r="32" spans="1:23" ht="13.5" customHeight="1" x14ac:dyDescent="0.25">
      <c r="E32" s="72"/>
    </row>
    <row r="33" spans="5:5" ht="13.5" customHeight="1" x14ac:dyDescent="0.25">
      <c r="E33" s="73"/>
    </row>
    <row r="34" spans="5:5" ht="13.5" customHeight="1" x14ac:dyDescent="0.25">
      <c r="E34" s="73"/>
    </row>
    <row r="35" spans="5:5" ht="13.5" customHeight="1" x14ac:dyDescent="0.25">
      <c r="E35" s="73"/>
    </row>
    <row r="36" spans="5:5" ht="13.5" customHeight="1" x14ac:dyDescent="0.25">
      <c r="E36" s="73"/>
    </row>
    <row r="37" spans="5:5" ht="13.5" customHeight="1" x14ac:dyDescent="0.25">
      <c r="E37" s="73"/>
    </row>
  </sheetData>
  <mergeCells count="14">
    <mergeCell ref="C15:C18"/>
    <mergeCell ref="D15:D18"/>
    <mergeCell ref="D11:D14"/>
    <mergeCell ref="B7:B18"/>
    <mergeCell ref="C7:C10"/>
    <mergeCell ref="D7:D10"/>
    <mergeCell ref="C11:C14"/>
    <mergeCell ref="G4:J4"/>
    <mergeCell ref="K4:N4"/>
    <mergeCell ref="O4:R4"/>
    <mergeCell ref="G2:R2"/>
    <mergeCell ref="G3:J3"/>
    <mergeCell ref="K3:N3"/>
    <mergeCell ref="O3:R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CFF4-5745-4A66-8F79-60FBE1A8F56B}">
  <dimension ref="A1:AE36"/>
  <sheetViews>
    <sheetView workbookViewId="0">
      <selection activeCell="L1" sqref="L1:S1048576"/>
    </sheetView>
  </sheetViews>
  <sheetFormatPr defaultColWidth="11.453125" defaultRowHeight="14.5" x14ac:dyDescent="0.25"/>
  <cols>
    <col min="1" max="1" width="2.6328125" style="65" customWidth="1"/>
    <col min="2" max="2" width="15.54296875" style="65" customWidth="1"/>
    <col min="3" max="3" width="5.6328125" style="65" customWidth="1"/>
    <col min="4" max="4" width="3.6328125" style="65" customWidth="1"/>
    <col min="5" max="5" width="3.54296875" style="65" customWidth="1"/>
    <col min="6" max="6" width="1" style="65" customWidth="1"/>
    <col min="7" max="10" width="4.453125" style="65" customWidth="1"/>
    <col min="11" max="11" width="1" style="65" customWidth="1"/>
    <col min="12" max="15" width="4.453125" style="65" customWidth="1"/>
    <col min="16" max="16" width="1" style="65" customWidth="1"/>
    <col min="17" max="19" width="4.453125" style="65" customWidth="1"/>
    <col min="20" max="31" width="11.453125" style="65"/>
    <col min="32" max="16384" width="11.453125" style="66"/>
  </cols>
  <sheetData>
    <row r="1" spans="1:21" ht="11.4" customHeight="1" x14ac:dyDescent="0.25">
      <c r="G1" s="76"/>
      <c r="H1" s="76"/>
      <c r="I1" s="76"/>
      <c r="J1" s="76"/>
      <c r="L1" s="76"/>
      <c r="M1" s="76"/>
      <c r="N1" s="76"/>
      <c r="O1" s="76"/>
    </row>
    <row r="2" spans="1:21" ht="30.65" customHeight="1" x14ac:dyDescent="0.25">
      <c r="F2" s="74"/>
      <c r="G2" s="462" t="s">
        <v>59</v>
      </c>
      <c r="H2" s="462"/>
      <c r="I2" s="462"/>
      <c r="J2" s="462"/>
      <c r="K2" s="214"/>
      <c r="L2" s="470" t="s">
        <v>54</v>
      </c>
      <c r="M2" s="470"/>
      <c r="N2" s="470"/>
      <c r="O2" s="470"/>
      <c r="P2" s="75"/>
      <c r="Q2" s="477" t="s">
        <v>58</v>
      </c>
      <c r="R2" s="478"/>
      <c r="S2" s="479"/>
    </row>
    <row r="3" spans="1:21" ht="30.75" customHeight="1" x14ac:dyDescent="0.25">
      <c r="F3" s="74"/>
      <c r="G3" s="449" t="s">
        <v>62</v>
      </c>
      <c r="H3" s="420"/>
      <c r="I3" s="450" t="s">
        <v>63</v>
      </c>
      <c r="J3" s="420"/>
      <c r="K3" s="79"/>
      <c r="L3" s="437" t="s">
        <v>62</v>
      </c>
      <c r="M3" s="437"/>
      <c r="N3" s="463" t="s">
        <v>63</v>
      </c>
      <c r="O3" s="422"/>
      <c r="P3" s="75"/>
      <c r="Q3" s="480"/>
      <c r="R3" s="459"/>
      <c r="S3" s="481"/>
    </row>
    <row r="4" spans="1:21" ht="15" customHeight="1" x14ac:dyDescent="0.25">
      <c r="B4" s="67"/>
      <c r="C4" s="67"/>
      <c r="D4" s="67"/>
      <c r="E4" s="68"/>
      <c r="F4" s="74"/>
      <c r="G4" s="485" t="s">
        <v>69</v>
      </c>
      <c r="H4" s="486"/>
      <c r="I4" s="485" t="s">
        <v>69</v>
      </c>
      <c r="J4" s="436"/>
      <c r="K4" s="79"/>
      <c r="L4" s="432" t="s">
        <v>66</v>
      </c>
      <c r="M4" s="432" t="s">
        <v>53</v>
      </c>
      <c r="N4" s="465" t="s">
        <v>66</v>
      </c>
      <c r="O4" s="432" t="s">
        <v>53</v>
      </c>
      <c r="P4" s="75"/>
      <c r="Q4" s="480"/>
      <c r="R4" s="459"/>
      <c r="S4" s="481"/>
    </row>
    <row r="5" spans="1:21" ht="15" customHeight="1" x14ac:dyDescent="0.25">
      <c r="B5" s="68"/>
      <c r="C5" s="68"/>
      <c r="D5" s="68"/>
      <c r="E5" s="68"/>
      <c r="F5" s="74"/>
      <c r="G5" s="217" t="s">
        <v>70</v>
      </c>
      <c r="H5" s="240" t="s">
        <v>71</v>
      </c>
      <c r="I5" s="218" t="s">
        <v>70</v>
      </c>
      <c r="J5" s="241" t="s">
        <v>71</v>
      </c>
      <c r="K5" s="79"/>
      <c r="L5" s="432"/>
      <c r="M5" s="432"/>
      <c r="N5" s="465"/>
      <c r="O5" s="432"/>
      <c r="P5" s="75"/>
      <c r="Q5" s="480"/>
      <c r="R5" s="459"/>
      <c r="S5" s="481"/>
    </row>
    <row r="6" spans="1:21" ht="5.25" customHeight="1" thickBot="1" x14ac:dyDescent="0.3">
      <c r="B6" s="76"/>
      <c r="C6" s="76"/>
      <c r="D6" s="76"/>
      <c r="E6" s="76"/>
      <c r="G6" s="78"/>
      <c r="H6" s="78"/>
      <c r="I6" s="78"/>
      <c r="J6" s="78"/>
      <c r="L6" s="78"/>
      <c r="M6" s="78"/>
      <c r="N6" s="78"/>
      <c r="O6" s="78"/>
      <c r="P6" s="74"/>
      <c r="Q6" s="86"/>
      <c r="R6" s="259"/>
      <c r="S6" s="76"/>
    </row>
    <row r="7" spans="1:21" ht="24" customHeight="1" x14ac:dyDescent="0.25">
      <c r="A7" s="74"/>
      <c r="B7" s="462" t="s">
        <v>60</v>
      </c>
      <c r="C7" s="453" t="s">
        <v>62</v>
      </c>
      <c r="D7" s="484" t="s">
        <v>69</v>
      </c>
      <c r="E7" s="215" t="s">
        <v>70</v>
      </c>
      <c r="F7" s="79"/>
      <c r="G7" s="244">
        <v>70</v>
      </c>
      <c r="H7" s="245">
        <v>45</v>
      </c>
      <c r="I7" s="246">
        <v>20</v>
      </c>
      <c r="J7" s="247">
        <v>0</v>
      </c>
      <c r="K7" s="79"/>
      <c r="L7" s="269">
        <v>40</v>
      </c>
      <c r="M7" s="270">
        <v>15</v>
      </c>
      <c r="N7" s="221">
        <v>5</v>
      </c>
      <c r="O7" s="222">
        <v>10</v>
      </c>
      <c r="P7" s="79"/>
      <c r="Q7" s="260"/>
      <c r="R7" s="263">
        <f>SUM(G7:J7,L7:O7)</f>
        <v>205</v>
      </c>
      <c r="S7" s="234"/>
      <c r="T7" s="75">
        <f>SUM(G7:J7)</f>
        <v>135</v>
      </c>
      <c r="U7" s="65">
        <f>200-A7</f>
        <v>200</v>
      </c>
    </row>
    <row r="8" spans="1:21" ht="24" customHeight="1" x14ac:dyDescent="0.25">
      <c r="A8" s="74"/>
      <c r="B8" s="462"/>
      <c r="C8" s="454"/>
      <c r="D8" s="483"/>
      <c r="E8" s="239" t="s">
        <v>71</v>
      </c>
      <c r="F8" s="79"/>
      <c r="G8" s="248">
        <v>25</v>
      </c>
      <c r="H8" s="128">
        <v>70</v>
      </c>
      <c r="I8" s="104">
        <v>15</v>
      </c>
      <c r="J8" s="249">
        <v>20</v>
      </c>
      <c r="K8" s="243"/>
      <c r="L8" s="271">
        <v>10</v>
      </c>
      <c r="M8" s="272">
        <v>40</v>
      </c>
      <c r="N8" s="220">
        <v>5</v>
      </c>
      <c r="O8" s="223">
        <v>5</v>
      </c>
      <c r="P8" s="79"/>
      <c r="Q8" s="256"/>
      <c r="R8" s="264">
        <f>SUM(G8:J8,L8:O8)</f>
        <v>190</v>
      </c>
      <c r="S8" s="261"/>
      <c r="T8" s="75">
        <f>SUM(G8:J8)</f>
        <v>130</v>
      </c>
      <c r="U8" s="65">
        <f t="shared" ref="U8:U10" si="0">SUM(L8:O8)</f>
        <v>60</v>
      </c>
    </row>
    <row r="9" spans="1:21" ht="24" customHeight="1" x14ac:dyDescent="0.25">
      <c r="A9" s="74"/>
      <c r="B9" s="462"/>
      <c r="C9" s="453" t="s">
        <v>63</v>
      </c>
      <c r="D9" s="482" t="s">
        <v>69</v>
      </c>
      <c r="E9" s="216" t="s">
        <v>70</v>
      </c>
      <c r="F9" s="79"/>
      <c r="G9" s="250">
        <v>15</v>
      </c>
      <c r="H9" s="122">
        <v>0</v>
      </c>
      <c r="I9" s="132">
        <v>25</v>
      </c>
      <c r="J9" s="251">
        <v>15</v>
      </c>
      <c r="K9" s="79"/>
      <c r="L9" s="273">
        <v>10</v>
      </c>
      <c r="M9" s="274">
        <v>0</v>
      </c>
      <c r="N9" s="219">
        <v>20</v>
      </c>
      <c r="O9" s="224">
        <v>15</v>
      </c>
      <c r="P9" s="79"/>
      <c r="Q9" s="257"/>
      <c r="R9" s="265">
        <f>SUM(G9:J9,L9:O9)</f>
        <v>100</v>
      </c>
      <c r="S9" s="262"/>
      <c r="T9" s="75">
        <f t="shared" ref="T9:T10" si="1">SUM(G9:J9)</f>
        <v>55</v>
      </c>
      <c r="U9" s="65">
        <f t="shared" si="0"/>
        <v>45</v>
      </c>
    </row>
    <row r="10" spans="1:21" ht="24" customHeight="1" thickBot="1" x14ac:dyDescent="0.3">
      <c r="A10" s="74"/>
      <c r="B10" s="462"/>
      <c r="C10" s="452"/>
      <c r="D10" s="483"/>
      <c r="E10" s="242" t="s">
        <v>71</v>
      </c>
      <c r="F10" s="79"/>
      <c r="G10" s="252">
        <v>10</v>
      </c>
      <c r="H10" s="253">
        <v>5</v>
      </c>
      <c r="I10" s="254">
        <v>10</v>
      </c>
      <c r="J10" s="255">
        <v>15</v>
      </c>
      <c r="K10" s="79"/>
      <c r="L10" s="275">
        <v>5</v>
      </c>
      <c r="M10" s="276">
        <v>10</v>
      </c>
      <c r="N10" s="225">
        <v>20</v>
      </c>
      <c r="O10" s="226">
        <v>25</v>
      </c>
      <c r="P10" s="79"/>
      <c r="Q10" s="235"/>
      <c r="R10" s="266">
        <f>SUM(G10:J10,L10:O10)</f>
        <v>100</v>
      </c>
      <c r="S10" s="238"/>
      <c r="T10" s="75">
        <f t="shared" si="1"/>
        <v>40</v>
      </c>
      <c r="U10" s="65">
        <f t="shared" si="0"/>
        <v>60</v>
      </c>
    </row>
    <row r="11" spans="1:21" ht="5.25" customHeight="1" thickBot="1" x14ac:dyDescent="0.3">
      <c r="B11" s="80"/>
      <c r="C11" s="80"/>
      <c r="D11" s="80"/>
      <c r="E11" s="77"/>
      <c r="G11" s="78"/>
      <c r="H11" s="78"/>
      <c r="I11" s="78"/>
      <c r="J11" s="78"/>
      <c r="L11" s="77"/>
      <c r="M11" s="77"/>
      <c r="N11" s="77"/>
      <c r="O11" s="77"/>
      <c r="Q11" s="77"/>
      <c r="R11" s="77"/>
      <c r="S11" s="77"/>
    </row>
    <row r="12" spans="1:21" ht="18" customHeight="1" thickBot="1" x14ac:dyDescent="0.3">
      <c r="A12" s="74"/>
      <c r="B12" s="460" t="s">
        <v>29</v>
      </c>
      <c r="C12" s="460"/>
      <c r="D12" s="84"/>
      <c r="F12" s="74"/>
      <c r="G12" s="228">
        <f>R7-SUM(G7:J7)</f>
        <v>70</v>
      </c>
      <c r="H12" s="277">
        <f>R8-SUM(G8:J8)</f>
        <v>60</v>
      </c>
      <c r="I12" s="229">
        <f>R9-SUM(G9:J9)</f>
        <v>45</v>
      </c>
      <c r="J12" s="230">
        <f>R10-SUM(G10:J10)</f>
        <v>60</v>
      </c>
      <c r="K12" s="75"/>
    </row>
    <row r="13" spans="1:21" ht="5.25" customHeight="1" thickBot="1" x14ac:dyDescent="0.3">
      <c r="B13" s="85"/>
      <c r="C13" s="85"/>
      <c r="D13" s="69"/>
      <c r="G13" s="78"/>
      <c r="H13" s="78"/>
      <c r="I13" s="78"/>
      <c r="J13" s="78"/>
      <c r="O13" s="125"/>
    </row>
    <row r="14" spans="1:21" ht="15" customHeight="1" x14ac:dyDescent="0.25">
      <c r="A14" s="74"/>
      <c r="B14" s="459" t="s">
        <v>58</v>
      </c>
      <c r="C14" s="459"/>
      <c r="D14" s="84"/>
      <c r="F14" s="74"/>
      <c r="G14" s="231"/>
      <c r="H14" s="232"/>
      <c r="I14" s="233"/>
      <c r="J14" s="234"/>
      <c r="K14" s="75"/>
    </row>
    <row r="15" spans="1:21" ht="15" customHeight="1" x14ac:dyDescent="0.25">
      <c r="A15" s="74"/>
      <c r="B15" s="459"/>
      <c r="C15" s="459"/>
      <c r="D15" s="84"/>
      <c r="F15" s="74"/>
      <c r="G15" s="258">
        <f>SUM(G7:G10)+G12</f>
        <v>190</v>
      </c>
      <c r="H15" s="227">
        <f>SUM(H7:H10)+H12</f>
        <v>180</v>
      </c>
      <c r="I15" s="268">
        <f>SUM(I7:I10)+I12</f>
        <v>115</v>
      </c>
      <c r="J15" s="267">
        <f>SUM(J7:J10)+J12</f>
        <v>110</v>
      </c>
      <c r="K15" s="75"/>
    </row>
    <row r="16" spans="1:21" ht="15" customHeight="1" thickBot="1" x14ac:dyDescent="0.3">
      <c r="A16" s="74"/>
      <c r="B16" s="459"/>
      <c r="C16" s="459"/>
      <c r="D16" s="84"/>
      <c r="F16" s="74"/>
      <c r="G16" s="235"/>
      <c r="H16" s="236"/>
      <c r="I16" s="237"/>
      <c r="J16" s="238"/>
      <c r="K16" s="75"/>
    </row>
    <row r="17" spans="2:10" ht="13.5" customHeight="1" x14ac:dyDescent="0.25">
      <c r="B17" s="80"/>
      <c r="C17" s="80"/>
      <c r="D17" s="69"/>
      <c r="G17" s="77"/>
      <c r="H17" s="77"/>
      <c r="I17" s="77"/>
      <c r="J17" s="77"/>
    </row>
    <row r="18" spans="2:10" ht="13.5" customHeight="1" x14ac:dyDescent="0.25">
      <c r="B18" s="69"/>
      <c r="C18" s="69"/>
      <c r="D18" s="69"/>
    </row>
    <row r="19" spans="2:10" ht="13.5" customHeight="1" x14ac:dyDescent="0.25">
      <c r="B19" s="69"/>
      <c r="C19" s="69"/>
      <c r="D19" s="69"/>
    </row>
    <row r="21" spans="2:10" ht="13.5" customHeight="1" x14ac:dyDescent="0.25">
      <c r="B21" s="69"/>
      <c r="C21" s="69"/>
      <c r="D21" s="69"/>
      <c r="E21" s="69"/>
    </row>
    <row r="22" spans="2:10" ht="13.5" customHeight="1" x14ac:dyDescent="0.25">
      <c r="B22" s="69"/>
      <c r="C22" s="69"/>
      <c r="D22" s="69"/>
      <c r="E22" s="69"/>
    </row>
    <row r="23" spans="2:10" ht="13.5" customHeight="1" x14ac:dyDescent="0.25">
      <c r="B23" s="69"/>
      <c r="C23" s="69"/>
      <c r="D23" s="69"/>
      <c r="E23" s="69"/>
    </row>
    <row r="24" spans="2:10" ht="13.5" customHeight="1" x14ac:dyDescent="0.25">
      <c r="B24" s="69"/>
      <c r="C24" s="69"/>
      <c r="D24" s="69"/>
      <c r="E24" s="69"/>
    </row>
    <row r="26" spans="2:10" ht="13.5" customHeight="1" x14ac:dyDescent="0.25">
      <c r="E26" s="69"/>
    </row>
    <row r="31" spans="2:10" ht="13.5" customHeight="1" x14ac:dyDescent="0.25">
      <c r="E31" s="72"/>
    </row>
    <row r="32" spans="2:10" ht="13.5" customHeight="1" x14ac:dyDescent="0.25">
      <c r="E32" s="73"/>
    </row>
    <row r="33" spans="5:5" ht="13.5" customHeight="1" x14ac:dyDescent="0.25">
      <c r="E33" s="73"/>
    </row>
    <row r="34" spans="5:5" ht="13.5" customHeight="1" x14ac:dyDescent="0.25">
      <c r="E34" s="73"/>
    </row>
    <row r="35" spans="5:5" ht="13.5" customHeight="1" x14ac:dyDescent="0.25">
      <c r="E35" s="73"/>
    </row>
    <row r="36" spans="5:5" ht="13.5" customHeight="1" x14ac:dyDescent="0.25">
      <c r="E36" s="73"/>
    </row>
  </sheetData>
  <mergeCells count="20">
    <mergeCell ref="Q2:S5"/>
    <mergeCell ref="L4:L5"/>
    <mergeCell ref="M4:M5"/>
    <mergeCell ref="N4:N5"/>
    <mergeCell ref="C9:C10"/>
    <mergeCell ref="D9:D10"/>
    <mergeCell ref="C7:C8"/>
    <mergeCell ref="D7:D8"/>
    <mergeCell ref="O4:O5"/>
    <mergeCell ref="G4:H4"/>
    <mergeCell ref="I4:J4"/>
    <mergeCell ref="G2:J2"/>
    <mergeCell ref="L2:O2"/>
    <mergeCell ref="G3:H3"/>
    <mergeCell ref="I3:J3"/>
    <mergeCell ref="L3:M3"/>
    <mergeCell ref="N3:O3"/>
    <mergeCell ref="B12:C12"/>
    <mergeCell ref="B14:C16"/>
    <mergeCell ref="B7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C469DA0857744B2E25B15AB61C57C" ma:contentTypeVersion="4" ma:contentTypeDescription="Crée un document." ma:contentTypeScope="" ma:versionID="1c25419f0913852ecd46fbe082ab918c">
  <xsd:schema xmlns:xsd="http://www.w3.org/2001/XMLSchema" xmlns:xs="http://www.w3.org/2001/XMLSchema" xmlns:p="http://schemas.microsoft.com/office/2006/metadata/properties" xmlns:ns3="96a9e30f-a77c-4cdd-aa33-614d5f6400ab" targetNamespace="http://schemas.microsoft.com/office/2006/metadata/properties" ma:root="true" ma:fieldsID="f7abe366755686eb81ebe531f7d7e046" ns3:_="">
    <xsd:import namespace="96a9e30f-a77c-4cdd-aa33-614d5f6400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e30f-a77c-4cdd-aa33-614d5f640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B14DB-450B-47EB-B79E-9979C882C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9e30f-a77c-4cdd-aa33-614d5f640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054F28-EE8F-4706-AFFC-DD8ACC57E081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96a9e30f-a77c-4cdd-aa33-614d5f6400ab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5F434DC-50FB-438F-922B-962BA7F68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ICIO</vt:lpstr>
      <vt:lpstr>MIP</vt:lpstr>
      <vt:lpstr>MIP2</vt:lpstr>
      <vt:lpstr>MRIOT</vt:lpstr>
      <vt:lpstr>MRIOT_Types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2017-04-03T13:26:09Z</dcterms:created>
  <dcterms:modified xsi:type="dcterms:W3CDTF">2026-01-23T21:25:30Z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0x0101000E4C469DA0857744B2E25B15AB61C57C</vt:lpwstr>
  </property>
</Properties>
</file>